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1"/>
  <workbookPr/>
  <mc:AlternateContent xmlns:mc="http://schemas.openxmlformats.org/markup-compatibility/2006">
    <mc:Choice Requires="x15">
      <x15ac:absPath xmlns:x15ac="http://schemas.microsoft.com/office/spreadsheetml/2010/11/ac" url="C:\Users\A\Downloads\"/>
    </mc:Choice>
  </mc:AlternateContent>
  <xr:revisionPtr revIDLastSave="0" documentId="8_{92DD119D-AC67-4383-B6FE-7370395FD540}" xr6:coauthVersionLast="47" xr6:coauthVersionMax="47" xr10:uidLastSave="{00000000-0000-0000-0000-000000000000}"/>
  <bookViews>
    <workbookView xWindow="-108" yWindow="-108" windowWidth="23256" windowHeight="12456" firstSheet="6" activeTab="6" xr2:uid="{00000000-000D-0000-FFFF-FFFF00000000}"/>
  </bookViews>
  <sheets>
    <sheet name="Dataset" sheetId="1" r:id="rId1"/>
    <sheet name="Q-1" sheetId="5" r:id="rId2"/>
    <sheet name="Q-2" sheetId="6" r:id="rId3"/>
    <sheet name="Q-2(2)" sheetId="7" r:id="rId4"/>
    <sheet name="Q-3" sheetId="8" r:id="rId5"/>
    <sheet name="Q-4" sheetId="9" r:id="rId6"/>
    <sheet name="Q-5" sheetId="10" r:id="rId7"/>
    <sheet name="Sheet for top 3 Product based o" sheetId="2" r:id="rId8"/>
    <sheet name=" Line Chart for Revenue Trend(T" sheetId="3" r:id="rId9"/>
    <sheet name="Pivot Table for Total_Amount by" sheetId="4" r:id="rId10"/>
  </sheets>
  <definedNames>
    <definedName name="_xlnm._FilterDatabase" localSheetId="0" hidden="1">Dataset!$A$1:$K$31</definedName>
    <definedName name="_xlnm._FilterDatabase" localSheetId="9" hidden="1">'Pivot Table for Total_Amount by'!$B$4:$B$9</definedName>
  </definedNames>
  <calcPr calcId="191028" calcCompleted="0"/>
  <pivotCaches>
    <pivotCache cacheId="6609" r:id="rId11"/>
    <pivotCache cacheId="6614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9" i="10" l="1"/>
  <c r="L39" i="10"/>
  <c r="K39" i="10"/>
  <c r="J39" i="10"/>
  <c r="O38" i="10"/>
  <c r="L38" i="10"/>
  <c r="K38" i="10"/>
  <c r="J38" i="10"/>
  <c r="O37" i="10"/>
  <c r="L37" i="10"/>
  <c r="K37" i="10"/>
  <c r="J37" i="10"/>
  <c r="N31" i="10"/>
  <c r="N14" i="10"/>
  <c r="N2" i="10"/>
  <c r="N24" i="10"/>
  <c r="N15" i="10"/>
  <c r="N10" i="10"/>
  <c r="N20" i="10"/>
  <c r="N18" i="10"/>
  <c r="N17" i="10"/>
  <c r="N11" i="10"/>
  <c r="N27" i="10"/>
  <c r="N6" i="10"/>
  <c r="N13" i="10"/>
  <c r="N19" i="10"/>
  <c r="N30" i="10"/>
  <c r="N12" i="10"/>
  <c r="N16" i="10"/>
  <c r="N23" i="10"/>
  <c r="N9" i="10"/>
  <c r="N8" i="10"/>
  <c r="N4" i="10"/>
  <c r="N26" i="10"/>
  <c r="N5" i="10"/>
  <c r="N7" i="10"/>
  <c r="N21" i="10"/>
  <c r="N29" i="10"/>
  <c r="N25" i="10"/>
  <c r="N22" i="10"/>
  <c r="N28" i="10"/>
  <c r="N3" i="10"/>
  <c r="K2" i="10"/>
  <c r="J2" i="10"/>
  <c r="I2" i="10"/>
  <c r="K10" i="10"/>
  <c r="J10" i="10"/>
  <c r="I10" i="10"/>
  <c r="K31" i="10"/>
  <c r="J31" i="10"/>
  <c r="I31" i="10"/>
  <c r="K3" i="10"/>
  <c r="J3" i="10"/>
  <c r="I3" i="10"/>
  <c r="K26" i="10"/>
  <c r="J26" i="10"/>
  <c r="I26" i="10"/>
  <c r="K4" i="10"/>
  <c r="J4" i="10"/>
  <c r="I4" i="10"/>
  <c r="K28" i="10"/>
  <c r="J28" i="10"/>
  <c r="I28" i="10"/>
  <c r="K23" i="10"/>
  <c r="J23" i="10"/>
  <c r="I23" i="10"/>
  <c r="K27" i="10"/>
  <c r="J27" i="10"/>
  <c r="I27" i="10"/>
  <c r="K18" i="10"/>
  <c r="J18" i="10"/>
  <c r="I18" i="10"/>
  <c r="K7" i="10"/>
  <c r="J7" i="10"/>
  <c r="I7" i="10"/>
  <c r="K13" i="10"/>
  <c r="J13" i="10"/>
  <c r="I13" i="10"/>
  <c r="K16" i="10"/>
  <c r="J16" i="10"/>
  <c r="I16" i="10"/>
  <c r="K17" i="10"/>
  <c r="J17" i="10"/>
  <c r="I17" i="10"/>
  <c r="K8" i="10"/>
  <c r="J8" i="10"/>
  <c r="I8" i="10"/>
  <c r="K19" i="10"/>
  <c r="J19" i="10"/>
  <c r="I19" i="10"/>
  <c r="K6" i="10"/>
  <c r="J6" i="10"/>
  <c r="I6" i="10"/>
  <c r="K9" i="10"/>
  <c r="J9" i="10"/>
  <c r="I9" i="10"/>
  <c r="K24" i="10"/>
  <c r="J24" i="10"/>
  <c r="I24" i="10"/>
  <c r="K30" i="10"/>
  <c r="J30" i="10"/>
  <c r="I30" i="10"/>
  <c r="K22" i="10"/>
  <c r="J22" i="10"/>
  <c r="I22" i="10"/>
  <c r="K11" i="10"/>
  <c r="J11" i="10"/>
  <c r="I11" i="10"/>
  <c r="M15" i="10" a="1"/>
  <c r="M15" i="10" s="1"/>
  <c r="K15" i="10"/>
  <c r="J15" i="10"/>
  <c r="I15" i="10"/>
  <c r="K12" i="10"/>
  <c r="J12" i="10"/>
  <c r="I12" i="10"/>
  <c r="K14" i="10"/>
  <c r="J14" i="10"/>
  <c r="I14" i="10"/>
  <c r="K20" i="10"/>
  <c r="J20" i="10"/>
  <c r="I20" i="10"/>
  <c r="K29" i="10"/>
  <c r="J29" i="10"/>
  <c r="I29" i="10"/>
  <c r="M21" i="10"/>
  <c r="K21" i="10"/>
  <c r="J21" i="10"/>
  <c r="I21" i="10"/>
  <c r="K5" i="10"/>
  <c r="J5" i="10"/>
  <c r="I5" i="10"/>
  <c r="K25" i="10"/>
  <c r="J25" i="10"/>
  <c r="I25" i="10"/>
  <c r="J8" i="2"/>
  <c r="J7" i="2"/>
  <c r="J6" i="2"/>
  <c r="K31" i="9"/>
  <c r="J31" i="9"/>
  <c r="I31" i="9"/>
  <c r="K30" i="9"/>
  <c r="J30" i="9"/>
  <c r="I30" i="9"/>
  <c r="K29" i="9"/>
  <c r="J29" i="9"/>
  <c r="I29" i="9"/>
  <c r="K28" i="9"/>
  <c r="J28" i="9"/>
  <c r="I28" i="9"/>
  <c r="K27" i="9"/>
  <c r="J27" i="9"/>
  <c r="I27" i="9"/>
  <c r="K26" i="9"/>
  <c r="J26" i="9"/>
  <c r="I26" i="9"/>
  <c r="K25" i="9"/>
  <c r="J25" i="9"/>
  <c r="I25" i="9"/>
  <c r="K24" i="9"/>
  <c r="J24" i="9"/>
  <c r="I24" i="9"/>
  <c r="K23" i="9"/>
  <c r="J23" i="9"/>
  <c r="I23" i="9"/>
  <c r="K22" i="9"/>
  <c r="J22" i="9"/>
  <c r="I22" i="9"/>
  <c r="K21" i="9"/>
  <c r="J21" i="9"/>
  <c r="I21" i="9"/>
  <c r="K20" i="9"/>
  <c r="J20" i="9"/>
  <c r="I20" i="9"/>
  <c r="K19" i="9"/>
  <c r="J19" i="9"/>
  <c r="I19" i="9"/>
  <c r="K18" i="9"/>
  <c r="J18" i="9"/>
  <c r="I18" i="9"/>
  <c r="K17" i="9"/>
  <c r="J17" i="9"/>
  <c r="I17" i="9"/>
  <c r="K16" i="9"/>
  <c r="J16" i="9"/>
  <c r="I16" i="9"/>
  <c r="K15" i="9"/>
  <c r="J15" i="9"/>
  <c r="I15" i="9"/>
  <c r="K14" i="9"/>
  <c r="J14" i="9"/>
  <c r="I14" i="9"/>
  <c r="K13" i="9"/>
  <c r="J13" i="9"/>
  <c r="I13" i="9"/>
  <c r="K12" i="9"/>
  <c r="J12" i="9"/>
  <c r="I12" i="9"/>
  <c r="K11" i="9"/>
  <c r="J11" i="9"/>
  <c r="I11" i="9"/>
  <c r="K10" i="9"/>
  <c r="J10" i="9"/>
  <c r="I10" i="9"/>
  <c r="M9" i="9" a="1"/>
  <c r="M9" i="9" s="1"/>
  <c r="K9" i="9"/>
  <c r="J9" i="9"/>
  <c r="I9" i="9"/>
  <c r="K8" i="9"/>
  <c r="J8" i="9"/>
  <c r="I8" i="9"/>
  <c r="K7" i="9"/>
  <c r="J7" i="9"/>
  <c r="I7" i="9"/>
  <c r="K6" i="9"/>
  <c r="J6" i="9"/>
  <c r="I6" i="9"/>
  <c r="K5" i="9"/>
  <c r="J5" i="9"/>
  <c r="I5" i="9"/>
  <c r="M4" i="9"/>
  <c r="K4" i="9"/>
  <c r="J4" i="9"/>
  <c r="I4" i="9"/>
  <c r="K3" i="9"/>
  <c r="J3" i="9"/>
  <c r="I3" i="9"/>
  <c r="K2" i="9"/>
  <c r="J2" i="9"/>
  <c r="I2" i="9"/>
  <c r="E35" i="8"/>
  <c r="C35" i="8"/>
  <c r="F34" i="8"/>
  <c r="D34" i="8"/>
  <c r="K31" i="8"/>
  <c r="J31" i="8"/>
  <c r="I31" i="8"/>
  <c r="K30" i="8"/>
  <c r="J30" i="8"/>
  <c r="I30" i="8"/>
  <c r="K29" i="8"/>
  <c r="J29" i="8"/>
  <c r="I29" i="8"/>
  <c r="K28" i="8"/>
  <c r="J28" i="8"/>
  <c r="I28" i="8"/>
  <c r="K27" i="8"/>
  <c r="J27" i="8"/>
  <c r="I27" i="8"/>
  <c r="K26" i="8"/>
  <c r="J26" i="8"/>
  <c r="I26" i="8"/>
  <c r="K25" i="8"/>
  <c r="J25" i="8"/>
  <c r="I25" i="8"/>
  <c r="K24" i="8"/>
  <c r="J24" i="8"/>
  <c r="I24" i="8"/>
  <c r="K23" i="8"/>
  <c r="J23" i="8"/>
  <c r="I23" i="8"/>
  <c r="K22" i="8"/>
  <c r="J22" i="8"/>
  <c r="I22" i="8"/>
  <c r="K21" i="8"/>
  <c r="J21" i="8"/>
  <c r="I21" i="8"/>
  <c r="K20" i="8"/>
  <c r="J20" i="8"/>
  <c r="I20" i="8"/>
  <c r="K19" i="8"/>
  <c r="J19" i="8"/>
  <c r="I19" i="8"/>
  <c r="K18" i="8"/>
  <c r="J18" i="8"/>
  <c r="I18" i="8"/>
  <c r="K17" i="8"/>
  <c r="J17" i="8"/>
  <c r="I17" i="8"/>
  <c r="K16" i="8"/>
  <c r="J16" i="8"/>
  <c r="I16" i="8"/>
  <c r="K15" i="8"/>
  <c r="J15" i="8"/>
  <c r="I15" i="8"/>
  <c r="K14" i="8"/>
  <c r="J14" i="8"/>
  <c r="I14" i="8"/>
  <c r="K13" i="8"/>
  <c r="J13" i="8"/>
  <c r="I13" i="8"/>
  <c r="K12" i="8"/>
  <c r="J12" i="8"/>
  <c r="I12" i="8"/>
  <c r="K11" i="8"/>
  <c r="J11" i="8"/>
  <c r="I11" i="8"/>
  <c r="K10" i="8"/>
  <c r="J10" i="8"/>
  <c r="I10" i="8"/>
  <c r="M9" i="8" a="1"/>
  <c r="M9" i="8" s="1"/>
  <c r="K9" i="8"/>
  <c r="J9" i="8"/>
  <c r="I9" i="8"/>
  <c r="K8" i="8"/>
  <c r="J8" i="8"/>
  <c r="I8" i="8"/>
  <c r="K7" i="8"/>
  <c r="J7" i="8"/>
  <c r="I7" i="8"/>
  <c r="K6" i="8"/>
  <c r="J6" i="8"/>
  <c r="I6" i="8"/>
  <c r="K5" i="8"/>
  <c r="J5" i="8"/>
  <c r="I5" i="8"/>
  <c r="M4" i="8"/>
  <c r="K4" i="8"/>
  <c r="J4" i="8"/>
  <c r="I4" i="8"/>
  <c r="K3" i="8"/>
  <c r="J3" i="8"/>
  <c r="I3" i="8"/>
  <c r="K2" i="8"/>
  <c r="J2" i="8"/>
  <c r="I2" i="8"/>
  <c r="D5" i="7"/>
  <c r="K31" i="6"/>
  <c r="J31" i="6"/>
  <c r="I31" i="6"/>
  <c r="K30" i="6"/>
  <c r="J30" i="6"/>
  <c r="I30" i="6"/>
  <c r="K29" i="6"/>
  <c r="J29" i="6"/>
  <c r="I29" i="6"/>
  <c r="K28" i="6"/>
  <c r="J28" i="6"/>
  <c r="I28" i="6"/>
  <c r="K27" i="6"/>
  <c r="J27" i="6"/>
  <c r="I27" i="6"/>
  <c r="K26" i="6"/>
  <c r="J26" i="6"/>
  <c r="I26" i="6"/>
  <c r="K25" i="6"/>
  <c r="J25" i="6"/>
  <c r="I25" i="6"/>
  <c r="K24" i="6"/>
  <c r="J24" i="6"/>
  <c r="I24" i="6"/>
  <c r="K23" i="6"/>
  <c r="J23" i="6"/>
  <c r="I23" i="6"/>
  <c r="K22" i="6"/>
  <c r="J22" i="6"/>
  <c r="I22" i="6"/>
  <c r="K21" i="6"/>
  <c r="J21" i="6"/>
  <c r="I21" i="6"/>
  <c r="K20" i="6"/>
  <c r="J20" i="6"/>
  <c r="I20" i="6"/>
  <c r="K19" i="6"/>
  <c r="J19" i="6"/>
  <c r="I19" i="6"/>
  <c r="K18" i="6"/>
  <c r="J18" i="6"/>
  <c r="I18" i="6"/>
  <c r="K17" i="6"/>
  <c r="J17" i="6"/>
  <c r="I17" i="6"/>
  <c r="K16" i="6"/>
  <c r="J16" i="6"/>
  <c r="I16" i="6"/>
  <c r="K15" i="6"/>
  <c r="J15" i="6"/>
  <c r="I15" i="6"/>
  <c r="K14" i="6"/>
  <c r="J14" i="6"/>
  <c r="I14" i="6"/>
  <c r="K13" i="6"/>
  <c r="J13" i="6"/>
  <c r="I13" i="6"/>
  <c r="K12" i="6"/>
  <c r="J12" i="6"/>
  <c r="I12" i="6"/>
  <c r="K11" i="6"/>
  <c r="J11" i="6"/>
  <c r="I11" i="6"/>
  <c r="K10" i="6"/>
  <c r="J10" i="6"/>
  <c r="I10" i="6"/>
  <c r="M9" i="6" a="1"/>
  <c r="M9" i="6" s="1"/>
  <c r="K9" i="6"/>
  <c r="J9" i="6"/>
  <c r="I9" i="6"/>
  <c r="K8" i="6"/>
  <c r="J8" i="6"/>
  <c r="I8" i="6"/>
  <c r="K7" i="6"/>
  <c r="J7" i="6"/>
  <c r="I7" i="6"/>
  <c r="K6" i="6"/>
  <c r="J6" i="6"/>
  <c r="I6" i="6"/>
  <c r="K5" i="6"/>
  <c r="J5" i="6"/>
  <c r="I5" i="6"/>
  <c r="M4" i="6"/>
  <c r="K4" i="6"/>
  <c r="J4" i="6"/>
  <c r="I4" i="6"/>
  <c r="K3" i="6"/>
  <c r="J3" i="6"/>
  <c r="I3" i="6"/>
  <c r="K2" i="6"/>
  <c r="J2" i="6"/>
  <c r="I2" i="6"/>
  <c r="B63" i="5"/>
  <c r="I31" i="5"/>
  <c r="G31" i="5"/>
  <c r="I30" i="5"/>
  <c r="G30" i="5"/>
  <c r="I29" i="5"/>
  <c r="G29" i="5"/>
  <c r="I28" i="5"/>
  <c r="G28" i="5"/>
  <c r="I27" i="5"/>
  <c r="G27" i="5"/>
  <c r="I26" i="5"/>
  <c r="G26" i="5"/>
  <c r="I25" i="5"/>
  <c r="G25" i="5"/>
  <c r="I24" i="5"/>
  <c r="G24" i="5"/>
  <c r="I23" i="5"/>
  <c r="G23" i="5"/>
  <c r="I22" i="5"/>
  <c r="G22" i="5"/>
  <c r="I21" i="5"/>
  <c r="G21" i="5"/>
  <c r="I20" i="5"/>
  <c r="G20" i="5"/>
  <c r="I19" i="5"/>
  <c r="G19" i="5"/>
  <c r="I18" i="5"/>
  <c r="G18" i="5"/>
  <c r="I17" i="5"/>
  <c r="G17" i="5"/>
  <c r="I16" i="5"/>
  <c r="G16" i="5"/>
  <c r="I15" i="5"/>
  <c r="G15" i="5"/>
  <c r="I14" i="5"/>
  <c r="G14" i="5"/>
  <c r="I13" i="5"/>
  <c r="G13" i="5"/>
  <c r="I12" i="5"/>
  <c r="G12" i="5"/>
  <c r="I11" i="5"/>
  <c r="G11" i="5"/>
  <c r="I10" i="5"/>
  <c r="G10" i="5"/>
  <c r="I9" i="5"/>
  <c r="G9" i="5"/>
  <c r="I8" i="5"/>
  <c r="G8" i="5"/>
  <c r="I7" i="5"/>
  <c r="G7" i="5"/>
  <c r="I6" i="5"/>
  <c r="G6" i="5"/>
  <c r="I5" i="5"/>
  <c r="G5" i="5"/>
  <c r="I4" i="5"/>
  <c r="G4" i="5"/>
  <c r="I3" i="5"/>
  <c r="G3" i="5"/>
  <c r="I2" i="5"/>
  <c r="G2" i="5"/>
  <c r="K46" i="1"/>
  <c r="K42" i="1"/>
  <c r="K38" i="1"/>
  <c r="K31" i="1"/>
  <c r="J31" i="1"/>
  <c r="I31" i="1"/>
  <c r="K30" i="1"/>
  <c r="J30" i="1"/>
  <c r="I30" i="1"/>
  <c r="K29" i="1"/>
  <c r="J29" i="1"/>
  <c r="I29" i="1"/>
  <c r="K28" i="1"/>
  <c r="J28" i="1"/>
  <c r="I28" i="1"/>
  <c r="K27" i="1"/>
  <c r="J27" i="1"/>
  <c r="I27" i="1"/>
  <c r="K26" i="1"/>
  <c r="J26" i="1"/>
  <c r="I26" i="1"/>
  <c r="K25" i="1"/>
  <c r="J25" i="1"/>
  <c r="I25" i="1"/>
  <c r="K24" i="1"/>
  <c r="J24" i="1"/>
  <c r="I24" i="1"/>
  <c r="K23" i="1"/>
  <c r="J23" i="1"/>
  <c r="I23" i="1"/>
  <c r="K22" i="1"/>
  <c r="J22" i="1"/>
  <c r="I22" i="1"/>
  <c r="K21" i="1"/>
  <c r="J21" i="1"/>
  <c r="I21" i="1"/>
  <c r="K20" i="1"/>
  <c r="J20" i="1"/>
  <c r="I20" i="1"/>
  <c r="K19" i="1"/>
  <c r="J19" i="1"/>
  <c r="I19" i="1"/>
  <c r="K18" i="1"/>
  <c r="J18" i="1"/>
  <c r="I18" i="1"/>
  <c r="K17" i="1"/>
  <c r="J17" i="1"/>
  <c r="I17" i="1"/>
  <c r="K16" i="1"/>
  <c r="J16" i="1"/>
  <c r="I16" i="1"/>
  <c r="K15" i="1"/>
  <c r="J15" i="1"/>
  <c r="I15" i="1"/>
  <c r="K14" i="1"/>
  <c r="J14" i="1"/>
  <c r="I14" i="1"/>
  <c r="K13" i="1"/>
  <c r="J13" i="1"/>
  <c r="I13" i="1"/>
  <c r="K12" i="1"/>
  <c r="J12" i="1"/>
  <c r="I12" i="1"/>
  <c r="K11" i="1"/>
  <c r="J11" i="1"/>
  <c r="I11" i="1"/>
  <c r="K10" i="1"/>
  <c r="J10" i="1"/>
  <c r="I10" i="1"/>
  <c r="M9" i="1" a="1"/>
  <c r="M9" i="1" s="1"/>
  <c r="K9" i="1"/>
  <c r="J9" i="1"/>
  <c r="I9" i="1"/>
  <c r="K8" i="1"/>
  <c r="J8" i="1"/>
  <c r="I8" i="1"/>
  <c r="K7" i="1"/>
  <c r="J7" i="1"/>
  <c r="I7" i="1"/>
  <c r="K6" i="1"/>
  <c r="J6" i="1"/>
  <c r="I6" i="1"/>
  <c r="K5" i="1"/>
  <c r="J5" i="1"/>
  <c r="I5" i="1"/>
  <c r="M4" i="1"/>
  <c r="K4" i="1"/>
  <c r="J4" i="1"/>
  <c r="I4" i="1"/>
  <c r="K3" i="1"/>
  <c r="J3" i="1"/>
  <c r="I3" i="1"/>
  <c r="K2" i="1"/>
  <c r="J2" i="1"/>
  <c r="I2" i="1"/>
  <c r="C33" i="5" l="1"/>
  <c r="B33" i="5"/>
  <c r="K2" i="5"/>
  <c r="J2" i="5"/>
  <c r="C34" i="5"/>
  <c r="B34" i="5"/>
  <c r="K3" i="5"/>
  <c r="J3" i="5"/>
  <c r="C35" i="5"/>
  <c r="B35" i="5"/>
  <c r="K4" i="5"/>
  <c r="J4" i="5"/>
  <c r="C36" i="5"/>
  <c r="B36" i="5"/>
  <c r="K5" i="5"/>
  <c r="J5" i="5"/>
  <c r="C37" i="5"/>
  <c r="B37" i="5"/>
  <c r="K6" i="5"/>
  <c r="J6" i="5"/>
  <c r="C38" i="5"/>
  <c r="B38" i="5"/>
  <c r="K7" i="5"/>
  <c r="J7" i="5"/>
  <c r="C39" i="5"/>
  <c r="B39" i="5"/>
  <c r="K8" i="5"/>
  <c r="J8" i="5"/>
  <c r="C40" i="5"/>
  <c r="B40" i="5"/>
  <c r="K9" i="5"/>
  <c r="J9" i="5"/>
  <c r="C41" i="5"/>
  <c r="B41" i="5"/>
  <c r="K10" i="5"/>
  <c r="J10" i="5"/>
  <c r="C42" i="5"/>
  <c r="B42" i="5"/>
  <c r="K11" i="5"/>
  <c r="J11" i="5"/>
  <c r="C43" i="5"/>
  <c r="B43" i="5"/>
  <c r="K12" i="5"/>
  <c r="J12" i="5"/>
  <c r="C44" i="5"/>
  <c r="B44" i="5"/>
  <c r="K13" i="5"/>
  <c r="J13" i="5"/>
  <c r="C45" i="5"/>
  <c r="B45" i="5"/>
  <c r="K14" i="5"/>
  <c r="J14" i="5"/>
  <c r="C46" i="5"/>
  <c r="B46" i="5"/>
  <c r="K15" i="5"/>
  <c r="J15" i="5"/>
  <c r="C47" i="5"/>
  <c r="B47" i="5"/>
  <c r="K16" i="5"/>
  <c r="J16" i="5"/>
  <c r="C48" i="5"/>
  <c r="B48" i="5"/>
  <c r="K17" i="5"/>
  <c r="J17" i="5"/>
  <c r="C49" i="5"/>
  <c r="B49" i="5"/>
  <c r="K18" i="5"/>
  <c r="J18" i="5"/>
  <c r="C50" i="5"/>
  <c r="B50" i="5"/>
  <c r="K19" i="5"/>
  <c r="J19" i="5"/>
  <c r="C51" i="5"/>
  <c r="B51" i="5"/>
  <c r="K20" i="5"/>
  <c r="J20" i="5"/>
  <c r="C52" i="5"/>
  <c r="B52" i="5"/>
  <c r="K21" i="5"/>
  <c r="J21" i="5"/>
  <c r="C53" i="5"/>
  <c r="B53" i="5"/>
  <c r="K22" i="5"/>
  <c r="J22" i="5"/>
  <c r="C54" i="5"/>
  <c r="B54" i="5"/>
  <c r="K23" i="5"/>
  <c r="J23" i="5"/>
  <c r="C55" i="5"/>
  <c r="B55" i="5"/>
  <c r="K24" i="5"/>
  <c r="J24" i="5"/>
  <c r="C56" i="5"/>
  <c r="B56" i="5"/>
  <c r="K25" i="5"/>
  <c r="J25" i="5"/>
  <c r="C57" i="5"/>
  <c r="B57" i="5"/>
  <c r="K26" i="5"/>
  <c r="J26" i="5"/>
  <c r="C58" i="5"/>
  <c r="B58" i="5"/>
  <c r="K27" i="5"/>
  <c r="J27" i="5"/>
  <c r="C59" i="5"/>
  <c r="B59" i="5"/>
  <c r="K28" i="5"/>
  <c r="J28" i="5"/>
  <c r="C60" i="5"/>
  <c r="B60" i="5"/>
  <c r="K29" i="5"/>
  <c r="J29" i="5"/>
  <c r="C61" i="5"/>
  <c r="B61" i="5"/>
  <c r="K30" i="5"/>
  <c r="J30" i="5"/>
  <c r="C62" i="5"/>
  <c r="B62" i="5"/>
  <c r="K31" i="5"/>
  <c r="J31" i="5"/>
  <c r="M4" i="5"/>
  <c r="M9" i="5"/>
  <c r="A2" i="5"/>
  <c r="M9" i="5" a="1"/>
</calcChain>
</file>

<file path=xl/sharedStrings.xml><?xml version="1.0" encoding="utf-8"?>
<sst xmlns="http://schemas.openxmlformats.org/spreadsheetml/2006/main" count="900" uniqueCount="140">
  <si>
    <t>Order_ID</t>
  </si>
  <si>
    <t>Product</t>
  </si>
  <si>
    <t>Category</t>
  </si>
  <si>
    <t>Quantity</t>
  </si>
  <si>
    <t>Price_Per_Unit</t>
  </si>
  <si>
    <t>Total_Amount</t>
  </si>
  <si>
    <t>Customer_Region</t>
  </si>
  <si>
    <t>Order_Date</t>
  </si>
  <si>
    <t>Profit_Margin</t>
  </si>
  <si>
    <t>Customer_Region "=Trim()"</t>
  </si>
  <si>
    <t>Customer_Region Uppercase</t>
  </si>
  <si>
    <t>Wireless Mouse</t>
  </si>
  <si>
    <t>Electronics</t>
  </si>
  <si>
    <t>North</t>
  </si>
  <si>
    <t>VLOOKUP FOR Order_ID = 1015</t>
  </si>
  <si>
    <t>Yoga Mat</t>
  </si>
  <si>
    <t>Fitness</t>
  </si>
  <si>
    <t>South</t>
  </si>
  <si>
    <t>Coffee Maker</t>
  </si>
  <si>
    <t>Kitchenware</t>
  </si>
  <si>
    <t>East</t>
  </si>
  <si>
    <t>Bluetooth Speaker</t>
  </si>
  <si>
    <t>West</t>
  </si>
  <si>
    <t>Running Shoes</t>
  </si>
  <si>
    <t>Footwear</t>
  </si>
  <si>
    <t>Smart Watch</t>
  </si>
  <si>
    <t>NULL</t>
  </si>
  <si>
    <t>INDEX/MATCH for Order_ID = 1027</t>
  </si>
  <si>
    <t>Treadmill</t>
  </si>
  <si>
    <t>Air Fryer</t>
  </si>
  <si>
    <t xml:space="preserve">Category </t>
  </si>
  <si>
    <t>Vacuum Cleaner</t>
  </si>
  <si>
    <t>Appliances</t>
  </si>
  <si>
    <t>Dumbbells</t>
  </si>
  <si>
    <t>Laptop Stand</t>
  </si>
  <si>
    <t>Toaster</t>
  </si>
  <si>
    <t>Air Purifier</t>
  </si>
  <si>
    <t>13-03-2025</t>
  </si>
  <si>
    <t>Resistance Bands</t>
  </si>
  <si>
    <t>14-03-2025</t>
  </si>
  <si>
    <t>Hair Dryer</t>
  </si>
  <si>
    <t>15-03-2025</t>
  </si>
  <si>
    <t>Electric Kettle</t>
  </si>
  <si>
    <t>16-03-2025</t>
  </si>
  <si>
    <t>Office Chair</t>
  </si>
  <si>
    <t>Furniture</t>
  </si>
  <si>
    <t>17-03-2025</t>
  </si>
  <si>
    <t>Adjustable Dumbbells</t>
  </si>
  <si>
    <t>18-03-2025</t>
  </si>
  <si>
    <t>Soundbar</t>
  </si>
  <si>
    <t>19-03-2025</t>
  </si>
  <si>
    <t>Yoga Block</t>
  </si>
  <si>
    <t>20-03-2025</t>
  </si>
  <si>
    <t>Rice Cooker</t>
  </si>
  <si>
    <t>21-03-2025</t>
  </si>
  <si>
    <t>Monitor</t>
  </si>
  <si>
    <t>22-03-2025</t>
  </si>
  <si>
    <t>Iron</t>
  </si>
  <si>
    <t>23-03-2025</t>
  </si>
  <si>
    <t>24-03-2025</t>
  </si>
  <si>
    <t>Smart TV</t>
  </si>
  <si>
    <t>25-03-2025</t>
  </si>
  <si>
    <t>Water Bottle</t>
  </si>
  <si>
    <t>26-03-2025</t>
  </si>
  <si>
    <t>Sofa Set</t>
  </si>
  <si>
    <t>27-03-2025</t>
  </si>
  <si>
    <t>28-03-2025</t>
  </si>
  <si>
    <t>Microwave Oven</t>
  </si>
  <si>
    <t>29-03-2025</t>
  </si>
  <si>
    <t>Laptop</t>
  </si>
  <si>
    <t>30-03-2025</t>
  </si>
  <si>
    <t>Explations of Steps taken :-</t>
  </si>
  <si>
    <t>CALCULATIONS :-</t>
  </si>
  <si>
    <t xml:space="preserve">Solution 1) highlight the null values using Conditional Formatting of columns Quantity, Price_Per_Unit and Total_Amount :- </t>
  </si>
  <si>
    <t>Rounded Average of Quantity Column</t>
  </si>
  <si>
    <t>- Selected the column ------&gt; selected conditional formating -----&gt; then set the rule by selecting text contain only and mention the "=NULL"</t>
  </si>
  <si>
    <t xml:space="preserve">In this replaced 7 NULL values with 2 which is Rounded Average of Quantity column </t>
  </si>
  <si>
    <r>
      <rPr>
        <sz val="10"/>
        <color theme="1"/>
        <rFont val="Arial"/>
      </rPr>
      <t>- In "</t>
    </r>
    <r>
      <rPr>
        <b/>
        <sz val="10"/>
        <color theme="1"/>
        <rFont val="Arial"/>
      </rPr>
      <t>Qunatity</t>
    </r>
    <r>
      <rPr>
        <sz val="10"/>
        <color theme="1"/>
        <rFont val="Arial"/>
      </rPr>
      <t xml:space="preserve">" column there were </t>
    </r>
    <r>
      <rPr>
        <b/>
        <sz val="10"/>
        <color theme="1"/>
        <rFont val="Arial"/>
      </rPr>
      <t>7 NULL values</t>
    </r>
  </si>
  <si>
    <r>
      <rPr>
        <sz val="10"/>
        <color theme="1"/>
        <rFont val="Arial"/>
      </rPr>
      <t>- In "</t>
    </r>
    <r>
      <rPr>
        <b/>
        <sz val="10"/>
        <color theme="1"/>
        <rFont val="Arial"/>
      </rPr>
      <t>Price_Per_Unit</t>
    </r>
    <r>
      <rPr>
        <sz val="10"/>
        <color theme="1"/>
        <rFont val="Arial"/>
      </rPr>
      <t xml:space="preserve">" column there were </t>
    </r>
    <r>
      <rPr>
        <b/>
        <sz val="10"/>
        <color theme="1"/>
        <rFont val="Arial"/>
      </rPr>
      <t>4 NULL values</t>
    </r>
  </si>
  <si>
    <r>
      <rPr>
        <sz val="10"/>
        <color theme="1"/>
        <rFont val="Arial"/>
      </rPr>
      <t>- In "</t>
    </r>
    <r>
      <rPr>
        <b/>
        <sz val="10"/>
        <color theme="1"/>
        <rFont val="Arial"/>
      </rPr>
      <t>Total_Amount</t>
    </r>
    <r>
      <rPr>
        <sz val="10"/>
        <color theme="1"/>
        <rFont val="Arial"/>
      </rPr>
      <t xml:space="preserve">" column there were </t>
    </r>
    <r>
      <rPr>
        <b/>
        <sz val="10"/>
        <color theme="1"/>
        <rFont val="Arial"/>
      </rPr>
      <t>11 NULL values</t>
    </r>
  </si>
  <si>
    <t>Rounded Average of Price_Per_Unit Column</t>
  </si>
  <si>
    <t xml:space="preserve">In this replaced 4 NULL values with 12619 which is Rounded Average of Price_Per_Unit column </t>
  </si>
  <si>
    <t>- Relaced the NULL values for these column with their respective column rounded average value -------&gt; Using 'Find and Replace' option :-</t>
  </si>
  <si>
    <r>
      <rPr>
        <sz val="10"/>
        <color theme="1"/>
        <rFont val="Arial"/>
      </rPr>
      <t xml:space="preserve">- </t>
    </r>
    <r>
      <rPr>
        <b/>
        <sz val="10"/>
        <color theme="1"/>
        <rFont val="Arial"/>
      </rPr>
      <t>Quantity column</t>
    </r>
    <r>
      <rPr>
        <sz val="10"/>
        <color theme="1"/>
        <rFont val="Arial"/>
      </rPr>
      <t xml:space="preserve"> rounded average value is</t>
    </r>
    <r>
      <rPr>
        <b/>
        <sz val="10"/>
        <color theme="1"/>
        <rFont val="Arial"/>
      </rPr>
      <t xml:space="preserve"> 2</t>
    </r>
  </si>
  <si>
    <r>
      <rPr>
        <sz val="10"/>
        <color theme="1"/>
        <rFont val="Arial"/>
      </rPr>
      <t xml:space="preserve">- </t>
    </r>
    <r>
      <rPr>
        <b/>
        <sz val="10"/>
        <color theme="1"/>
        <rFont val="Arial"/>
      </rPr>
      <t>Price_Per_Unit column</t>
    </r>
    <r>
      <rPr>
        <sz val="10"/>
        <color theme="1"/>
        <rFont val="Arial"/>
      </rPr>
      <t xml:space="preserve"> rounded average value is</t>
    </r>
    <r>
      <rPr>
        <b/>
        <sz val="10"/>
        <color theme="1"/>
        <rFont val="Arial"/>
      </rPr>
      <t xml:space="preserve"> 12619</t>
    </r>
  </si>
  <si>
    <t>Rounded Average of Total_Amount Column</t>
  </si>
  <si>
    <r>
      <rPr>
        <sz val="10"/>
        <color theme="1"/>
        <rFont val="Arial"/>
      </rPr>
      <t xml:space="preserve">- </t>
    </r>
    <r>
      <rPr>
        <b/>
        <sz val="10"/>
        <color theme="1"/>
        <rFont val="Arial"/>
      </rPr>
      <t>Total_Amount column</t>
    </r>
    <r>
      <rPr>
        <sz val="10"/>
        <color theme="1"/>
        <rFont val="Arial"/>
      </rPr>
      <t xml:space="preserve"> rounded average value is</t>
    </r>
    <r>
      <rPr>
        <b/>
        <sz val="10"/>
        <color theme="1"/>
        <rFont val="Arial"/>
      </rPr>
      <t xml:space="preserve"> 16400</t>
    </r>
  </si>
  <si>
    <t xml:space="preserve">In this replaced 11 NULL values with 16400 which is Rounded Average of Total_Amount column </t>
  </si>
  <si>
    <t>- Removed Leading/Trailing Spaces in Customer_Region Using TRIM() in new column as "Customer_Region "=Trim()"</t>
  </si>
  <si>
    <r>
      <rPr>
        <sz val="10"/>
        <color theme="1"/>
        <rFont val="Arial"/>
      </rPr>
      <t xml:space="preserve">- Used formula -------&gt; </t>
    </r>
    <r>
      <rPr>
        <b/>
        <sz val="10"/>
        <color theme="1"/>
        <rFont val="Arial"/>
      </rPr>
      <t>=TRIM(G2)</t>
    </r>
  </si>
  <si>
    <t>- Converted all Customer_Region values to uppercase -----&gt; Using formula "=UPPER(G2)" in new column as "Customer_Region Uppercase".</t>
  </si>
  <si>
    <t>- Solution 2) Created a Pivot Table for Total_Amount by Customer_Region using pivot table option :</t>
  </si>
  <si>
    <t>- Selected main data and created a pivot table in new sheet ------&gt; Then Added in ROWS - Customer_Region, VALUES AS - Total_Amount and summarize it by SUM</t>
  </si>
  <si>
    <t>- Created a Bar chart to see the Region with Highest Revenue is "North" ----&gt; then "West" ------&gt; then "East" ------&gt; then "South" ------&gt; and last "NULL".</t>
  </si>
  <si>
    <t>- Applied Data Bars through Conditional formatting ----&gt; Under “Format cells if,” choose - Color scale and Charts to Highlight Revenue</t>
  </si>
  <si>
    <t>In this "Green" will show the highest revenue by region and "Red" color will show the lowest revenue by region.</t>
  </si>
  <si>
    <t>Solution 3) Used VLOOKUP function to fetch the Total_Amount for the same Order_ID = 1015 -------&gt; Used formula "=VLOOKUP(Lookup value, Range to search, Column number for Total_Amount, False)</t>
  </si>
  <si>
    <r>
      <rPr>
        <sz val="10"/>
        <color theme="1"/>
        <rFont val="Arial"/>
      </rPr>
      <t>- Used Formula -----------&gt; "</t>
    </r>
    <r>
      <rPr>
        <b/>
        <sz val="10"/>
        <color theme="1"/>
        <rFont val="Arial"/>
      </rPr>
      <t>=VLOOKUP(L3, A1:F31, 6, False)</t>
    </r>
    <r>
      <rPr>
        <sz val="10"/>
        <color theme="1"/>
        <rFont val="Arial"/>
      </rPr>
      <t>"</t>
    </r>
  </si>
  <si>
    <r>
      <rPr>
        <sz val="10"/>
        <color theme="1"/>
        <rFont val="Arial"/>
      </rPr>
      <t xml:space="preserve">- Explanation ----&gt; " </t>
    </r>
    <r>
      <rPr>
        <b/>
        <sz val="10"/>
        <color theme="1"/>
        <rFont val="Arial"/>
      </rPr>
      <t>L3 "</t>
    </r>
    <r>
      <rPr>
        <sz val="10"/>
        <color theme="1"/>
        <rFont val="Arial"/>
      </rPr>
      <t xml:space="preserve"> ---&gt; Lookup value , " </t>
    </r>
    <r>
      <rPr>
        <b/>
        <sz val="10"/>
        <color theme="1"/>
        <rFont val="Arial"/>
      </rPr>
      <t>A1:F31 "</t>
    </r>
    <r>
      <rPr>
        <sz val="10"/>
        <color theme="1"/>
        <rFont val="Arial"/>
      </rPr>
      <t xml:space="preserve"> ---&gt; Range to search within, " </t>
    </r>
    <r>
      <rPr>
        <b/>
        <sz val="10"/>
        <color theme="1"/>
        <rFont val="Arial"/>
      </rPr>
      <t xml:space="preserve">6 " </t>
    </r>
    <r>
      <rPr>
        <sz val="10"/>
        <color theme="1"/>
        <rFont val="Arial"/>
      </rPr>
      <t xml:space="preserve">---&gt; Column number for Total_Amount from the left starting column, " </t>
    </r>
    <r>
      <rPr>
        <b/>
        <sz val="10"/>
        <color theme="1"/>
        <rFont val="Arial"/>
      </rPr>
      <t xml:space="preserve">FALSE " </t>
    </r>
    <r>
      <rPr>
        <sz val="10"/>
        <color theme="1"/>
        <rFont val="Arial"/>
      </rPr>
      <t>---&gt; Exact match required</t>
    </r>
  </si>
  <si>
    <t>- Used the INDEX/MATCH functions together to retrieve the Category for for Order_ID = 1027 ------&gt; Used formula "=INDEX(Return value column, MATCH(Order_ID, Order_ID column, 0)) "</t>
  </si>
  <si>
    <r>
      <rPr>
        <sz val="10"/>
        <color theme="1"/>
        <rFont val="Arial"/>
      </rPr>
      <t>- Used Formula -----------&gt; "</t>
    </r>
    <r>
      <rPr>
        <b/>
        <sz val="10"/>
        <color theme="1"/>
        <rFont val="Arial"/>
      </rPr>
      <t>=INDEX(C1:C31, MATCH(L8, A1:A31,0))</t>
    </r>
    <r>
      <rPr>
        <sz val="10"/>
        <color theme="1"/>
        <rFont val="Arial"/>
      </rPr>
      <t>"</t>
    </r>
  </si>
  <si>
    <r>
      <rPr>
        <sz val="10"/>
        <color theme="1"/>
        <rFont val="Arial"/>
      </rPr>
      <t xml:space="preserve">- Explanation ----&gt; " </t>
    </r>
    <r>
      <rPr>
        <b/>
        <sz val="10"/>
        <color theme="1"/>
        <rFont val="Arial"/>
      </rPr>
      <t>C1:C31 "</t>
    </r>
    <r>
      <rPr>
        <sz val="10"/>
        <color theme="1"/>
        <rFont val="Arial"/>
      </rPr>
      <t xml:space="preserve"> ---&gt; Returns value from Category column (C) at that row, " </t>
    </r>
    <r>
      <rPr>
        <b/>
        <sz val="10"/>
        <color theme="1"/>
        <rFont val="Arial"/>
      </rPr>
      <t xml:space="preserve">L8 </t>
    </r>
    <r>
      <rPr>
        <sz val="10"/>
        <color theme="1"/>
        <rFont val="Arial"/>
      </rPr>
      <t xml:space="preserve">" ----&gt; Order_ID cell or you can use the value directly, " </t>
    </r>
    <r>
      <rPr>
        <b/>
        <sz val="10"/>
        <color theme="1"/>
        <rFont val="Arial"/>
      </rPr>
      <t>A1:A31</t>
    </r>
    <r>
      <rPr>
        <sz val="10"/>
        <color theme="1"/>
        <rFont val="Arial"/>
      </rPr>
      <t xml:space="preserve"> " ----&gt; this is the Order_ID column, " </t>
    </r>
    <r>
      <rPr>
        <b/>
        <sz val="10"/>
        <color theme="1"/>
        <rFont val="Arial"/>
      </rPr>
      <t xml:space="preserve">0 " </t>
    </r>
    <r>
      <rPr>
        <sz val="10"/>
        <color theme="1"/>
        <rFont val="Arial"/>
      </rPr>
      <t>for the exact match.</t>
    </r>
  </si>
  <si>
    <t>- Compare the results of both methods and explain the difference between VLOOKUP and INDEX/MATCH</t>
  </si>
  <si>
    <t>VLOOKUP</t>
  </si>
  <si>
    <t>INDEX/MATCH</t>
  </si>
  <si>
    <t>Lookup direction is only left to right</t>
  </si>
  <si>
    <t>Index/Match lookup dirction works both ways (it's more flexible)</t>
  </si>
  <si>
    <t>Performance of Lookup function is slower in large datasets</t>
  </si>
  <si>
    <t>Performance of Index/Match function faster, especially in large datasets</t>
  </si>
  <si>
    <t>Column insertion in Lookup function is breaks if columns are added/removed in range</t>
  </si>
  <si>
    <t>Column insertion in Index/Match function is robust, doesn't depend on column numbers</t>
  </si>
  <si>
    <t>Ease of use in Lookup function is simple syntax for beginners</t>
  </si>
  <si>
    <t>Ease of use in Index/Match function is slightly complex but more powerful.</t>
  </si>
  <si>
    <t>Solution 4) Created a Line Chart for Revenue Trend with the Line Plot using Total_Amount (Y-axis) over Order_Date (X-axis) :- In New Sheet</t>
  </si>
  <si>
    <t xml:space="preserve">- Select the two columns (Order_Date and Total_Amount) ------&gt; Go to Insert ---&gt; Charts ---&gt; Line Chart
</t>
  </si>
  <si>
    <t>- Mentioned the summary analysis of the trend in the new sheet.</t>
  </si>
  <si>
    <t>Solution 5) Profit Margin Calculation :-</t>
  </si>
  <si>
    <r>
      <rPr>
        <sz val="10"/>
        <color theme="1"/>
        <rFont val="Arial"/>
      </rPr>
      <t>- Here created a new column Profit_Margin -------&gt; and used formula "</t>
    </r>
    <r>
      <rPr>
        <b/>
        <sz val="10"/>
        <color theme="1"/>
        <rFont val="Arial"/>
      </rPr>
      <t>=F2-(D2*E2*0.6)</t>
    </r>
    <r>
      <rPr>
        <sz val="10"/>
        <color theme="1"/>
        <rFont val="Arial"/>
      </rPr>
      <t>" or "</t>
    </r>
    <r>
      <rPr>
        <b/>
        <sz val="10"/>
        <color theme="1"/>
        <rFont val="Arial"/>
      </rPr>
      <t>Profit_Margin = Total_Amount - (Quantity × Price_Per_Unit × 0.6)</t>
    </r>
    <r>
      <rPr>
        <sz val="10"/>
        <color theme="1"/>
        <rFont val="Arial"/>
      </rPr>
      <t>"</t>
    </r>
  </si>
  <si>
    <r>
      <rPr>
        <sz val="10"/>
        <color theme="1"/>
        <rFont val="Arial"/>
      </rPr>
      <t xml:space="preserve">- Highlight High-Profit Products through Conditional formatting ----------&gt; select </t>
    </r>
    <r>
      <rPr>
        <b/>
        <sz val="10"/>
        <color theme="1"/>
        <rFont val="Arial"/>
      </rPr>
      <t>greater than</t>
    </r>
    <r>
      <rPr>
        <sz val="10"/>
        <color theme="1"/>
        <rFont val="Arial"/>
      </rPr>
      <t xml:space="preserve"> -----&gt; mention the number "</t>
    </r>
    <r>
      <rPr>
        <b/>
        <sz val="10"/>
        <color theme="1"/>
        <rFont val="Arial"/>
      </rPr>
      <t>5000</t>
    </r>
    <r>
      <rPr>
        <sz val="10"/>
        <color theme="1"/>
        <rFont val="Arial"/>
      </rPr>
      <t xml:space="preserve">" to highlight </t>
    </r>
  </si>
  <si>
    <t>- Then Sort by Profit_Margin in Descending Order using "sort range" function of Profit_Margin column.</t>
  </si>
  <si>
    <t>- Then copy the top 3 products with the highest Profit_Margin and paste them in a New/Separate sheet.</t>
  </si>
  <si>
    <t>Row Labels</t>
  </si>
  <si>
    <t>Sum of Total_Amount</t>
  </si>
  <si>
    <t>(blank)</t>
  </si>
  <si>
    <t>Grand Total</t>
  </si>
  <si>
    <t>Profit_margine</t>
  </si>
  <si>
    <t>Top 3 Product based on Profit_Margin</t>
  </si>
  <si>
    <t>Summary :-</t>
  </si>
  <si>
    <t>- Top 3 High-Profit Products is "Laptop, Sofa Set, and Smart TV" according to the Profit_Margin :-</t>
  </si>
  <si>
    <t>1) Laptop</t>
  </si>
  <si>
    <t>2) Sofa Set</t>
  </si>
  <si>
    <t>3) Smart TV</t>
  </si>
  <si>
    <t>- Here I have select full dataset (including headers) then -----------&gt; Go to Data ----&gt; Sort range and select ----&gt; Sort by Profit_Margin ----&gt; Z &gt;&gt; A (Descending)</t>
  </si>
  <si>
    <t>Line Chart for Revenue Trend(Total_Amount, Order_Date)</t>
  </si>
  <si>
    <t>- Here we can see the sales is spike during the dates 23-03-2025 to 30-03-2025 month end it may be due to holiday season for Holi as this month is March according to indian calendar.</t>
  </si>
  <si>
    <t>- Possible drop during starting of the months.</t>
  </si>
  <si>
    <t>Total_Amount by Customer_Region</t>
  </si>
  <si>
    <t>SUM of Total_Amount</t>
  </si>
  <si>
    <t>- Here you can see the Region with Highest Revenue is "North" ----&gt; then "West" ------&gt; then "East" ------&gt; then "South" ------&gt; and last "NULL".</t>
  </si>
  <si>
    <t>- Applied Data Bars and Charts to Highlight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</si>
</sst>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"/>
  </numFmts>
  <fonts count="19">
    <font>
      <sz val="10"/>
      <color rgb="FF000000"/>
      <name val="Arial"/>
      <scheme val="minor"/>
    </font>
    <font>
      <b/>
      <sz val="11"/>
      <color rgb="FFFFFFFF"/>
      <name val="Calibri"/>
    </font>
    <font>
      <b/>
      <sz val="10"/>
      <color theme="1"/>
      <name val="Arial"/>
      <scheme val="minor"/>
    </font>
    <font>
      <sz val="11"/>
      <color rgb="FF000000"/>
      <name val="Calibri"/>
    </font>
    <font>
      <sz val="10"/>
      <color theme="1"/>
      <name val="Arial"/>
      <scheme val="minor"/>
    </font>
    <font>
      <sz val="10"/>
      <name val="Arial"/>
    </font>
    <font>
      <b/>
      <sz val="20"/>
      <color rgb="FF000000"/>
      <name val="Calibri"/>
    </font>
    <font>
      <sz val="10"/>
      <color theme="1"/>
      <name val="Arial"/>
    </font>
    <font>
      <b/>
      <sz val="10"/>
      <color theme="1"/>
      <name val="Arial"/>
    </font>
    <font>
      <b/>
      <sz val="15"/>
      <color rgb="FF222222"/>
      <name val="&quot;Google Sans&quot;"/>
    </font>
    <font>
      <b/>
      <sz val="15"/>
      <color theme="1"/>
      <name val="Arial"/>
      <scheme val="minor"/>
    </font>
    <font>
      <b/>
      <sz val="11"/>
      <color theme="1"/>
      <name val="Arial"/>
      <scheme val="minor"/>
    </font>
    <font>
      <b/>
      <sz val="17"/>
      <color rgb="FF222222"/>
      <name val="&quot;Google Sans&quot;"/>
    </font>
    <font>
      <sz val="11"/>
      <color theme="1"/>
      <name val="Calibri"/>
    </font>
    <font>
      <b/>
      <sz val="14"/>
      <color theme="1"/>
      <name val="Arial"/>
      <scheme val="minor"/>
    </font>
    <font>
      <b/>
      <sz val="16"/>
      <color theme="1"/>
      <name val="Arial"/>
      <scheme val="minor"/>
    </font>
    <font>
      <sz val="10"/>
      <color rgb="FF000000"/>
      <name val="Arial"/>
      <family val="2"/>
      <scheme val="minor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8064A2"/>
        <bgColor rgb="FF8064A2"/>
      </patternFill>
    </fill>
    <fill>
      <patternFill patternType="solid">
        <fgColor rgb="FFCCC0DA"/>
        <bgColor rgb="FFCCC0DA"/>
      </patternFill>
    </fill>
    <fill>
      <patternFill patternType="solid">
        <fgColor rgb="FFB4A7D6"/>
        <bgColor rgb="FFB4A7D6"/>
      </patternFill>
    </fill>
    <fill>
      <patternFill patternType="solid">
        <fgColor rgb="FFE4DFEC"/>
        <bgColor rgb="FFE4DFEC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D8E5F8"/>
        <bgColor rgb="FFD8E5F8"/>
      </patternFill>
    </fill>
    <fill>
      <patternFill patternType="solid">
        <fgColor rgb="FFE1E9F7"/>
        <bgColor rgb="FFE1E9F7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3" fillId="3" borderId="1" xfId="0" applyFont="1" applyFill="1" applyBorder="1" applyAlignment="1">
      <alignment horizontal="center"/>
    </xf>
    <xf numFmtId="164" fontId="3" fillId="3" borderId="1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3" fillId="5" borderId="1" xfId="0" applyFont="1" applyFill="1" applyBorder="1" applyAlignment="1">
      <alignment horizontal="center"/>
    </xf>
    <xf numFmtId="164" fontId="3" fillId="5" borderId="1" xfId="0" applyNumberFormat="1" applyFont="1" applyFill="1" applyBorder="1" applyAlignment="1">
      <alignment horizontal="center"/>
    </xf>
    <xf numFmtId="0" fontId="4" fillId="6" borderId="1" xfId="0" applyFont="1" applyFill="1" applyBorder="1"/>
    <xf numFmtId="0" fontId="4" fillId="7" borderId="1" xfId="0" applyFont="1" applyFill="1" applyBorder="1"/>
    <xf numFmtId="0" fontId="4" fillId="7" borderId="1" xfId="0" applyFont="1" applyFill="1" applyBorder="1" applyAlignment="1">
      <alignment horizontal="right"/>
    </xf>
    <xf numFmtId="0" fontId="6" fillId="0" borderId="0" xfId="0" applyFont="1"/>
    <xf numFmtId="0" fontId="2" fillId="0" borderId="0" xfId="0" applyFont="1"/>
    <xf numFmtId="0" fontId="4" fillId="0" borderId="0" xfId="0" applyFont="1"/>
    <xf numFmtId="0" fontId="3" fillId="0" borderId="0" xfId="0" applyFont="1"/>
    <xf numFmtId="0" fontId="7" fillId="0" borderId="0" xfId="0" applyFont="1"/>
    <xf numFmtId="0" fontId="8" fillId="0" borderId="0" xfId="0" applyFont="1"/>
    <xf numFmtId="0" fontId="4" fillId="0" borderId="1" xfId="0" applyFont="1" applyBorder="1" applyAlignment="1">
      <alignment horizontal="center"/>
    </xf>
    <xf numFmtId="0" fontId="10" fillId="0" borderId="0" xfId="0" applyFont="1"/>
    <xf numFmtId="0" fontId="11" fillId="0" borderId="0" xfId="0" applyFont="1"/>
    <xf numFmtId="0" fontId="13" fillId="3" borderId="1" xfId="0" applyFont="1" applyFill="1" applyBorder="1" applyAlignment="1">
      <alignment horizontal="center"/>
    </xf>
    <xf numFmtId="164" fontId="13" fillId="3" borderId="1" xfId="0" applyNumberFormat="1" applyFont="1" applyFill="1" applyBorder="1" applyAlignment="1">
      <alignment horizontal="center"/>
    </xf>
    <xf numFmtId="0" fontId="13" fillId="5" borderId="1" xfId="0" applyFont="1" applyFill="1" applyBorder="1" applyAlignment="1">
      <alignment horizontal="center"/>
    </xf>
    <xf numFmtId="164" fontId="13" fillId="5" borderId="1" xfId="0" applyNumberFormat="1" applyFont="1" applyFill="1" applyBorder="1" applyAlignment="1">
      <alignment horizontal="center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3" borderId="1" xfId="0" applyFont="1" applyFill="1" applyBorder="1" applyAlignment="1">
      <alignment horizontal="center"/>
    </xf>
    <xf numFmtId="0" fontId="18" fillId="2" borderId="1" xfId="0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/>
    <xf numFmtId="0" fontId="0" fillId="0" borderId="2" xfId="0" applyBorder="1"/>
    <xf numFmtId="0" fontId="4" fillId="6" borderId="0" xfId="0" applyFont="1" applyFill="1" applyBorder="1"/>
    <xf numFmtId="0" fontId="0" fillId="0" borderId="1" xfId="0" applyBorder="1"/>
    <xf numFmtId="0" fontId="2" fillId="4" borderId="0" xfId="0" applyFont="1" applyFill="1" applyBorder="1" applyAlignment="1"/>
    <xf numFmtId="0" fontId="0" fillId="0" borderId="3" xfId="0" applyBorder="1"/>
    <xf numFmtId="0" fontId="5" fillId="0" borderId="0" xfId="0" applyFont="1" applyBorder="1" applyAlignment="1"/>
    <xf numFmtId="0" fontId="4" fillId="7" borderId="0" xfId="0" applyFont="1" applyFill="1" applyBorder="1" applyAlignment="1">
      <alignment horizontal="right"/>
    </xf>
    <xf numFmtId="0" fontId="4" fillId="7" borderId="0" xfId="0" applyFont="1" applyFill="1" applyBorder="1"/>
    <xf numFmtId="0" fontId="2" fillId="4" borderId="2" xfId="0" applyFont="1" applyFill="1" applyBorder="1" applyAlignment="1">
      <alignment horizontal="center"/>
    </xf>
    <xf numFmtId="0" fontId="8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9" fillId="8" borderId="0" xfId="0" applyFont="1" applyFill="1" applyAlignment="1">
      <alignment horizontal="center"/>
    </xf>
    <xf numFmtId="0" fontId="12" fillId="9" borderId="0" xfId="0" applyFont="1" applyFill="1" applyAlignment="1">
      <alignment horizontal="center"/>
    </xf>
    <xf numFmtId="0" fontId="0" fillId="0" borderId="5" xfId="0" pivotButton="1" applyBorder="1"/>
    <xf numFmtId="0" fontId="0" fillId="0" borderId="6" xfId="0" applyBorder="1"/>
    <xf numFmtId="0" fontId="0" fillId="0" borderId="5" xfId="0" applyBorder="1"/>
    <xf numFmtId="0" fontId="0" fillId="0" borderId="6" xfId="0" applyNumberFormat="1" applyBorder="1"/>
    <xf numFmtId="0" fontId="0" fillId="0" borderId="7" xfId="0" applyBorder="1"/>
    <xf numFmtId="0" fontId="0" fillId="0" borderId="8" xfId="0" applyNumberFormat="1" applyBorder="1"/>
    <xf numFmtId="0" fontId="0" fillId="0" borderId="9" xfId="0" applyBorder="1"/>
    <xf numFmtId="0" fontId="0" fillId="0" borderId="10" xfId="0" applyNumberFormat="1" applyBorder="1"/>
    <xf numFmtId="0" fontId="5" fillId="0" borderId="3" xfId="0" applyFont="1" applyBorder="1" applyAlignment="1"/>
    <xf numFmtId="0" fontId="2" fillId="4" borderId="2" xfId="0" applyFont="1" applyFill="1" applyBorder="1" applyAlignment="1"/>
    <xf numFmtId="0" fontId="5" fillId="0" borderId="4" xfId="0" applyFont="1" applyBorder="1" applyAlignment="1"/>
    <xf numFmtId="0" fontId="0" fillId="0" borderId="0" xfId="0" applyAlignment="1"/>
  </cellXfs>
  <cellStyles count="1">
    <cellStyle name="Normal" xfId="0" builtinId="0"/>
  </cellStyles>
  <dxfs count="25"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>
          <bgColor theme="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Line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'Q-4'!$F$2:$F$31</c:f>
              <c:numCache>
                <c:formatCode>General</c:formatCode>
                <c:ptCount val="30"/>
                <c:pt idx="0">
                  <c:v>1500</c:v>
                </c:pt>
                <c:pt idx="1">
                  <c:v>16400</c:v>
                </c:pt>
                <c:pt idx="2">
                  <c:v>3500</c:v>
                </c:pt>
                <c:pt idx="3">
                  <c:v>16400</c:v>
                </c:pt>
                <c:pt idx="4">
                  <c:v>5000</c:v>
                </c:pt>
                <c:pt idx="5">
                  <c:v>14000</c:v>
                </c:pt>
                <c:pt idx="6">
                  <c:v>16400</c:v>
                </c:pt>
                <c:pt idx="7">
                  <c:v>13500</c:v>
                </c:pt>
                <c:pt idx="8">
                  <c:v>16400</c:v>
                </c:pt>
                <c:pt idx="9">
                  <c:v>3000</c:v>
                </c:pt>
                <c:pt idx="10">
                  <c:v>16400</c:v>
                </c:pt>
                <c:pt idx="11">
                  <c:v>2200</c:v>
                </c:pt>
                <c:pt idx="12">
                  <c:v>24000</c:v>
                </c:pt>
                <c:pt idx="13">
                  <c:v>16400</c:v>
                </c:pt>
                <c:pt idx="14">
                  <c:v>5400</c:v>
                </c:pt>
                <c:pt idx="15">
                  <c:v>16400</c:v>
                </c:pt>
                <c:pt idx="16">
                  <c:v>8000</c:v>
                </c:pt>
                <c:pt idx="17">
                  <c:v>11000</c:v>
                </c:pt>
                <c:pt idx="18">
                  <c:v>20000</c:v>
                </c:pt>
                <c:pt idx="19">
                  <c:v>16400</c:v>
                </c:pt>
                <c:pt idx="20">
                  <c:v>8000</c:v>
                </c:pt>
                <c:pt idx="21">
                  <c:v>16400</c:v>
                </c:pt>
                <c:pt idx="22">
                  <c:v>2500</c:v>
                </c:pt>
                <c:pt idx="23">
                  <c:v>16400</c:v>
                </c:pt>
                <c:pt idx="24">
                  <c:v>40000</c:v>
                </c:pt>
                <c:pt idx="25">
                  <c:v>1000</c:v>
                </c:pt>
                <c:pt idx="26">
                  <c:v>55000</c:v>
                </c:pt>
                <c:pt idx="27">
                  <c:v>16400</c:v>
                </c:pt>
                <c:pt idx="28">
                  <c:v>24000</c:v>
                </c:pt>
                <c:pt idx="29">
                  <c:v>70000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08-4F5F-B87D-A7B884D53C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6828000"/>
        <c:axId val="15068284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spPr>
                  <a:ln w="22225" cap="rnd">
                    <a:solidFill>
                      <a:schemeClr val="accent2"/>
                    </a:solidFill>
                  </a:ln>
                  <a:effectLst>
                    <a:glow rad="139700">
                      <a:schemeClr val="accent2">
                        <a:satMod val="175000"/>
                        <a:alpha val="14000"/>
                      </a:schemeClr>
                    </a:glow>
                  </a:effectLst>
                </c:spPr>
                <c:marker>
                  <c:symbol val="circle"/>
                  <c:size val="4"/>
                  <c:spPr>
                    <a:solidFill>
                      <a:schemeClr val="accent2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>
                      <a:glow rad="63500">
                        <a:schemeClr val="accent2">
                          <a:satMod val="175000"/>
                          <a:alpha val="25000"/>
                        </a:schemeClr>
                      </a:glow>
                    </a:effectLst>
                  </c:spPr>
                </c:marker>
                <c:val>
                  <c:numRef>
                    <c:extLst>
                      <c:ext uri="{02D57815-91ED-43cb-92C2-25804820EDAC}">
                        <c15:formulaRef>
                          <c15:sqref>'Q-4'!$H$2</c15:sqref>
                        </c15:formulaRef>
                      </c:ext>
                    </c:extLst>
                    <c:numCache>
                      <c:formatCode>mm\-dd\-yyyy</c:formatCode>
                      <c:ptCount val="1"/>
                      <c:pt idx="0">
                        <c:v>45660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2E08-4F5F-B87D-A7B884D53C5B}"/>
                  </c:ext>
                </c:extLst>
              </c15:ser>
            </c15:filteredLineSeries>
            <c15:filteredLineSeries>
              <c15:ser>
                <c:idx val="2"/>
                <c:order val="2"/>
                <c:spPr>
                  <a:ln w="22225" cap="rnd">
                    <a:solidFill>
                      <a:schemeClr val="accent3"/>
                    </a:solidFill>
                  </a:ln>
                  <a:effectLst>
                    <a:glow rad="139700">
                      <a:schemeClr val="accent3">
                        <a:satMod val="175000"/>
                        <a:alpha val="14000"/>
                      </a:schemeClr>
                    </a:glow>
                  </a:effectLst>
                </c:spPr>
                <c:marker>
                  <c:symbol val="circle"/>
                  <c:size val="4"/>
                  <c:spPr>
                    <a:solidFill>
                      <a:schemeClr val="accent3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>
                      <a:glow rad="63500">
                        <a:schemeClr val="accent3">
                          <a:satMod val="175000"/>
                          <a:alpha val="25000"/>
                        </a:schemeClr>
                      </a:glow>
                    </a:effectLst>
                  </c:spPr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'Q-4'!$H$2:$H$31</c15:sqref>
                        </c15:formulaRef>
                      </c:ext>
                    </c:extLst>
                    <c:numCache>
                      <c:formatCode>mm\-dd\-yyyy</c:formatCode>
                      <c:ptCount val="30"/>
                      <c:pt idx="0">
                        <c:v>45660</c:v>
                      </c:pt>
                      <c:pt idx="1">
                        <c:v>45691</c:v>
                      </c:pt>
                      <c:pt idx="2">
                        <c:v>45719</c:v>
                      </c:pt>
                      <c:pt idx="3">
                        <c:v>45750</c:v>
                      </c:pt>
                      <c:pt idx="4">
                        <c:v>45780</c:v>
                      </c:pt>
                      <c:pt idx="5">
                        <c:v>45811</c:v>
                      </c:pt>
                      <c:pt idx="6">
                        <c:v>45841</c:v>
                      </c:pt>
                      <c:pt idx="7">
                        <c:v>45872</c:v>
                      </c:pt>
                      <c:pt idx="8">
                        <c:v>45903</c:v>
                      </c:pt>
                      <c:pt idx="9">
                        <c:v>45933</c:v>
                      </c:pt>
                      <c:pt idx="10">
                        <c:v>45964</c:v>
                      </c:pt>
                      <c:pt idx="11">
                        <c:v>45994</c:v>
                      </c:pt>
                      <c:pt idx="12" formatCode="General">
                        <c:v>0</c:v>
                      </c:pt>
                      <c:pt idx="13" formatCode="General">
                        <c:v>0</c:v>
                      </c:pt>
                      <c:pt idx="14" formatCode="General">
                        <c:v>0</c:v>
                      </c:pt>
                      <c:pt idx="15" formatCode="General">
                        <c:v>0</c:v>
                      </c:pt>
                      <c:pt idx="16" formatCode="General">
                        <c:v>0</c:v>
                      </c:pt>
                      <c:pt idx="17" formatCode="General">
                        <c:v>0</c:v>
                      </c:pt>
                      <c:pt idx="18" formatCode="General">
                        <c:v>0</c:v>
                      </c:pt>
                      <c:pt idx="19" formatCode="General">
                        <c:v>0</c:v>
                      </c:pt>
                      <c:pt idx="20" formatCode="General">
                        <c:v>0</c:v>
                      </c:pt>
                      <c:pt idx="21" formatCode="General">
                        <c:v>0</c:v>
                      </c:pt>
                      <c:pt idx="22" formatCode="General">
                        <c:v>0</c:v>
                      </c:pt>
                      <c:pt idx="23" formatCode="General">
                        <c:v>0</c:v>
                      </c:pt>
                      <c:pt idx="24" formatCode="General">
                        <c:v>0</c:v>
                      </c:pt>
                      <c:pt idx="25" formatCode="General">
                        <c:v>0</c:v>
                      </c:pt>
                      <c:pt idx="26" formatCode="General">
                        <c:v>0</c:v>
                      </c:pt>
                      <c:pt idx="27" formatCode="General">
                        <c:v>0</c:v>
                      </c:pt>
                      <c:pt idx="28" formatCode="General">
                        <c:v>0</c:v>
                      </c:pt>
                      <c:pt idx="29" formatCode="General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2E08-4F5F-B87D-A7B884D53C5B}"/>
                  </c:ext>
                </c:extLst>
              </c15:ser>
            </c15:filteredLineSeries>
          </c:ext>
        </c:extLst>
      </c:lineChart>
      <c:dateAx>
        <c:axId val="150682800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Order_Date</a:t>
                </a:r>
              </a:p>
              <a:p>
                <a:pPr>
                  <a:defRPr/>
                </a:pPr>
                <a:endParaRPr lang="en-IN"/>
              </a:p>
            </c:rich>
          </c:tx>
          <c:layout>
            <c:manualLayout>
              <c:xMode val="edge"/>
              <c:yMode val="edge"/>
              <c:x val="0.43138210848643921"/>
              <c:y val="0.8671759259259259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6828480"/>
        <c:crosses val="autoZero"/>
        <c:auto val="0"/>
        <c:lblOffset val="100"/>
        <c:baseTimeUnit val="days"/>
      </c:dateAx>
      <c:valAx>
        <c:axId val="15068284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Total_Sales</a:t>
                </a:r>
              </a:p>
            </c:rich>
          </c:tx>
          <c:layout>
            <c:manualLayout>
              <c:xMode val="edge"/>
              <c:yMode val="edge"/>
              <c:x val="8.3333333333333332E-3"/>
              <c:y val="0.3804502041411490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6828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Chart for Revenue Trend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 Line Chart for Revenue Trend(T'!$B$4</c:f>
              <c:strCache>
                <c:ptCount val="1"/>
                <c:pt idx="0">
                  <c:v>Total_Amount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 Line Chart for Revenue Trend(T'!$C$5:$C$34</c:f>
              <c:strCache>
                <c:ptCount val="30"/>
                <c:pt idx="0">
                  <c:v>01-03-2025</c:v>
                </c:pt>
                <c:pt idx="1">
                  <c:v>02-03-2025</c:v>
                </c:pt>
                <c:pt idx="2">
                  <c:v>03-03-2025</c:v>
                </c:pt>
                <c:pt idx="3">
                  <c:v>04-03-2025</c:v>
                </c:pt>
                <c:pt idx="4">
                  <c:v>05-03-2025</c:v>
                </c:pt>
                <c:pt idx="5">
                  <c:v>06-03-2025</c:v>
                </c:pt>
                <c:pt idx="6">
                  <c:v>07-03-2025</c:v>
                </c:pt>
                <c:pt idx="7">
                  <c:v>08-03-2025</c:v>
                </c:pt>
                <c:pt idx="8">
                  <c:v>09-03-2025</c:v>
                </c:pt>
                <c:pt idx="9">
                  <c:v>10-03-2025</c:v>
                </c:pt>
                <c:pt idx="10">
                  <c:v>11-03-2025</c:v>
                </c:pt>
                <c:pt idx="11">
                  <c:v>12-03-2025</c:v>
                </c:pt>
                <c:pt idx="12">
                  <c:v>13-03-2025</c:v>
                </c:pt>
                <c:pt idx="13">
                  <c:v>14-03-2025</c:v>
                </c:pt>
                <c:pt idx="14">
                  <c:v>15-03-2025</c:v>
                </c:pt>
                <c:pt idx="15">
                  <c:v>16-03-2025</c:v>
                </c:pt>
                <c:pt idx="16">
                  <c:v>17-03-2025</c:v>
                </c:pt>
                <c:pt idx="17">
                  <c:v>18-03-2025</c:v>
                </c:pt>
                <c:pt idx="18">
                  <c:v>19-03-2025</c:v>
                </c:pt>
                <c:pt idx="19">
                  <c:v>20-03-2025</c:v>
                </c:pt>
                <c:pt idx="20">
                  <c:v>21-03-2025</c:v>
                </c:pt>
                <c:pt idx="21">
                  <c:v>22-03-2025</c:v>
                </c:pt>
                <c:pt idx="22">
                  <c:v>23-03-2025</c:v>
                </c:pt>
                <c:pt idx="23">
                  <c:v>24-03-2025</c:v>
                </c:pt>
                <c:pt idx="24">
                  <c:v>25-03-2025</c:v>
                </c:pt>
                <c:pt idx="25">
                  <c:v>26-03-2025</c:v>
                </c:pt>
                <c:pt idx="26">
                  <c:v>27-03-2025</c:v>
                </c:pt>
                <c:pt idx="27">
                  <c:v>28-03-2025</c:v>
                </c:pt>
                <c:pt idx="28">
                  <c:v>29-03-2025</c:v>
                </c:pt>
                <c:pt idx="29">
                  <c:v>30-03-2025</c:v>
                </c:pt>
              </c:strCache>
            </c:strRef>
          </c:cat>
          <c:val>
            <c:numRef>
              <c:f>' Line Chart for Revenue Trend(T'!$B$5:$B$34</c:f>
              <c:numCache>
                <c:formatCode>General</c:formatCode>
                <c:ptCount val="30"/>
                <c:pt idx="0">
                  <c:v>1500</c:v>
                </c:pt>
                <c:pt idx="1">
                  <c:v>16400</c:v>
                </c:pt>
                <c:pt idx="2">
                  <c:v>3500</c:v>
                </c:pt>
                <c:pt idx="3">
                  <c:v>16400</c:v>
                </c:pt>
                <c:pt idx="4">
                  <c:v>5000</c:v>
                </c:pt>
                <c:pt idx="5">
                  <c:v>14000</c:v>
                </c:pt>
                <c:pt idx="6">
                  <c:v>16400</c:v>
                </c:pt>
                <c:pt idx="7">
                  <c:v>13500</c:v>
                </c:pt>
                <c:pt idx="8">
                  <c:v>16400</c:v>
                </c:pt>
                <c:pt idx="9">
                  <c:v>3000</c:v>
                </c:pt>
                <c:pt idx="10">
                  <c:v>16400</c:v>
                </c:pt>
                <c:pt idx="11">
                  <c:v>2200</c:v>
                </c:pt>
                <c:pt idx="12">
                  <c:v>24000</c:v>
                </c:pt>
                <c:pt idx="13">
                  <c:v>16400</c:v>
                </c:pt>
                <c:pt idx="14">
                  <c:v>5400</c:v>
                </c:pt>
                <c:pt idx="15">
                  <c:v>16400</c:v>
                </c:pt>
                <c:pt idx="16">
                  <c:v>8000</c:v>
                </c:pt>
                <c:pt idx="17">
                  <c:v>11000</c:v>
                </c:pt>
                <c:pt idx="18">
                  <c:v>20000</c:v>
                </c:pt>
                <c:pt idx="19">
                  <c:v>16400</c:v>
                </c:pt>
                <c:pt idx="20">
                  <c:v>8000</c:v>
                </c:pt>
                <c:pt idx="21">
                  <c:v>16400</c:v>
                </c:pt>
                <c:pt idx="22">
                  <c:v>2500</c:v>
                </c:pt>
                <c:pt idx="23">
                  <c:v>16400</c:v>
                </c:pt>
                <c:pt idx="24">
                  <c:v>40000</c:v>
                </c:pt>
                <c:pt idx="25">
                  <c:v>1000</c:v>
                </c:pt>
                <c:pt idx="26">
                  <c:v>55000</c:v>
                </c:pt>
                <c:pt idx="27">
                  <c:v>16400</c:v>
                </c:pt>
                <c:pt idx="28">
                  <c:v>24000</c:v>
                </c:pt>
                <c:pt idx="29">
                  <c:v>70000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05-41C1-93E2-8246038E7A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72178438"/>
        <c:axId val="1329003371"/>
      </c:lineChart>
      <c:catAx>
        <c:axId val="8721784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29003371"/>
        <c:crosses val="autoZero"/>
        <c:auto val="1"/>
        <c:lblAlgn val="ctr"/>
        <c:lblOffset val="100"/>
        <c:noMultiLvlLbl val="1"/>
      </c:catAx>
      <c:valAx>
        <c:axId val="13290033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Total_Revenue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7217843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Total_Amount by Customer_Region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'Pivot Table for Total_Amount by'!$B$4</c:f>
              <c:strCache>
                <c:ptCount val="1"/>
                <c:pt idx="0">
                  <c:v>SUM of Total_Amount</c:v>
                </c:pt>
              </c:strCache>
            </c:strRef>
          </c:tx>
          <c:spPr>
            <a:solidFill>
              <a:srgbClr val="3C78D8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'Pivot Table for Total_Amount by'!$A$5:$A$9</c:f>
              <c:strCache>
                <c:ptCount val="5"/>
                <c:pt idx="0">
                  <c:v>East</c:v>
                </c:pt>
                <c:pt idx="1">
                  <c:v>North</c:v>
                </c:pt>
                <c:pt idx="2">
                  <c:v>NULL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'Pivot Table for Total_Amount by'!$B$5:$B$9</c:f>
              <c:numCache>
                <c:formatCode>General</c:formatCode>
                <c:ptCount val="5"/>
                <c:pt idx="0">
                  <c:v>116300</c:v>
                </c:pt>
                <c:pt idx="1">
                  <c:v>137700</c:v>
                </c:pt>
                <c:pt idx="2">
                  <c:v>14000</c:v>
                </c:pt>
                <c:pt idx="3">
                  <c:v>100600</c:v>
                </c:pt>
                <c:pt idx="4">
                  <c:v>123400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9C1-416E-90F6-E6A7F36E22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27567433"/>
        <c:axId val="622344945"/>
      </c:barChart>
      <c:catAx>
        <c:axId val="12275674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Customer_Region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22344945"/>
        <c:crosses val="autoZero"/>
        <c:auto val="1"/>
        <c:lblAlgn val="ctr"/>
        <c:lblOffset val="100"/>
        <c:noMultiLvlLbl val="1"/>
      </c:catAx>
      <c:valAx>
        <c:axId val="6223449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Total_Amount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2756743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167640</xdr:colOff>
      <xdr:row>32</xdr:row>
      <xdr:rowOff>152400</xdr:rowOff>
    </xdr:from>
    <xdr:to>
      <xdr:col>8</xdr:col>
      <xdr:colOff>502920</xdr:colOff>
      <xdr:row>49</xdr:row>
      <xdr:rowOff>45720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69849AD-1B1B-7433-F353-A184DBE89F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390525</xdr:colOff>
      <xdr:row>3</xdr:row>
      <xdr:rowOff>57150</xdr:rowOff>
    </xdr:from>
    <xdr:ext cx="5715000" cy="353377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123825</xdr:colOff>
      <xdr:row>3</xdr:row>
      <xdr:rowOff>0</xdr:rowOff>
    </xdr:from>
    <xdr:ext cx="4495800" cy="2667000"/>
    <xdr:graphicFrame macro="">
      <xdr:nvGraphicFramePr>
        <xdr:cNvPr id="2" name="Chart 2" titl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" refreshedDate="45916.499728587965" createdVersion="8" refreshedVersion="8" minRefreshableVersion="3" recordCount="31" xr:uid="{032F0223-663D-47B9-9A48-C75C7FA6A79F}">
  <cacheSource type="worksheet">
    <worksheetSource ref="F1:G32" sheet="Q-2"/>
  </cacheSource>
  <cacheFields count="2">
    <cacheField name="Total_Amount" numFmtId="0">
      <sharedItems containsString="0" containsBlank="1" containsNumber="1" containsInteger="1" minValue="1000" maxValue="70000" count="19">
        <n v="1500"/>
        <n v="16400"/>
        <n v="3500"/>
        <n v="5000"/>
        <n v="14000"/>
        <n v="13500"/>
        <n v="3000"/>
        <n v="2200"/>
        <n v="24000"/>
        <n v="5400"/>
        <n v="8000"/>
        <n v="11000"/>
        <n v="20000"/>
        <n v="2500"/>
        <n v="40000"/>
        <n v="1000"/>
        <n v="55000"/>
        <n v="70000"/>
        <m/>
      </sharedItems>
    </cacheField>
    <cacheField name="Customer_Region" numFmtId="0">
      <sharedItems containsBlank="1" count="6">
        <s v="North"/>
        <s v="South"/>
        <s v="East"/>
        <s v="West"/>
        <s v="NULL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Excel Services" refreshedDate="45918.033617939815" refreshedVersion="8" recordCount="30" xr:uid="{00000000-000A-0000-FFFF-FFFF00000000}">
  <cacheSource type="worksheet">
    <worksheetSource ref="A1:H31" sheet="Dataset"/>
  </cacheSource>
  <cacheFields count="8">
    <cacheField name="Order_ID" numFmtId="0">
      <sharedItems containsSemiMixedTypes="0" containsString="0" containsNumber="1" containsInteger="1" minValue="1001" maxValue="1030"/>
    </cacheField>
    <cacheField name="Product" numFmtId="0">
      <sharedItems/>
    </cacheField>
    <cacheField name="Category" numFmtId="0">
      <sharedItems/>
    </cacheField>
    <cacheField name="Quantity" numFmtId="0">
      <sharedItems containsSemiMixedTypes="0" containsString="0" containsNumber="1" containsInteger="1" minValue="1" maxValue="5"/>
    </cacheField>
    <cacheField name="Price_Per_Unit" numFmtId="0">
      <sharedItems containsSemiMixedTypes="0" containsString="0" containsNumber="1" containsInteger="1" minValue="200" maxValue="70000"/>
    </cacheField>
    <cacheField name="Total_Amount" numFmtId="0">
      <sharedItems containsSemiMixedTypes="0" containsString="0" containsNumber="1" containsInteger="1" minValue="1000" maxValue="70000"/>
    </cacheField>
    <cacheField name="Customer_Region" numFmtId="0">
      <sharedItems count="5">
        <s v="North"/>
        <s v="South"/>
        <s v="East"/>
        <s v="West"/>
        <s v="NULL"/>
      </sharedItems>
    </cacheField>
    <cacheField name="Order_Date" numFmtId="0">
      <sharedItems containsDate="1" containsMixedTypes="1" minDate="2025-01-03T00:00:00" maxDate="2025-12-04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x v="0"/>
    <x v="0"/>
  </r>
  <r>
    <x v="1"/>
    <x v="1"/>
  </r>
  <r>
    <x v="2"/>
    <x v="2"/>
  </r>
  <r>
    <x v="1"/>
    <x v="3"/>
  </r>
  <r>
    <x v="3"/>
    <x v="0"/>
  </r>
  <r>
    <x v="4"/>
    <x v="4"/>
  </r>
  <r>
    <x v="1"/>
    <x v="1"/>
  </r>
  <r>
    <x v="5"/>
    <x v="2"/>
  </r>
  <r>
    <x v="1"/>
    <x v="0"/>
  </r>
  <r>
    <x v="6"/>
    <x v="3"/>
  </r>
  <r>
    <x v="1"/>
    <x v="2"/>
  </r>
  <r>
    <x v="7"/>
    <x v="1"/>
  </r>
  <r>
    <x v="8"/>
    <x v="3"/>
  </r>
  <r>
    <x v="1"/>
    <x v="0"/>
  </r>
  <r>
    <x v="9"/>
    <x v="2"/>
  </r>
  <r>
    <x v="1"/>
    <x v="1"/>
  </r>
  <r>
    <x v="10"/>
    <x v="3"/>
  </r>
  <r>
    <x v="11"/>
    <x v="0"/>
  </r>
  <r>
    <x v="12"/>
    <x v="2"/>
  </r>
  <r>
    <x v="1"/>
    <x v="1"/>
  </r>
  <r>
    <x v="10"/>
    <x v="3"/>
  </r>
  <r>
    <x v="1"/>
    <x v="0"/>
  </r>
  <r>
    <x v="13"/>
    <x v="2"/>
  </r>
  <r>
    <x v="1"/>
    <x v="1"/>
  </r>
  <r>
    <x v="14"/>
    <x v="3"/>
  </r>
  <r>
    <x v="15"/>
    <x v="0"/>
  </r>
  <r>
    <x v="16"/>
    <x v="2"/>
  </r>
  <r>
    <x v="1"/>
    <x v="1"/>
  </r>
  <r>
    <x v="8"/>
    <x v="3"/>
  </r>
  <r>
    <x v="17"/>
    <x v="0"/>
  </r>
  <r>
    <x v="18"/>
    <x v="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n v="1001"/>
    <s v="Wireless Mouse"/>
    <s v="Electronics"/>
    <n v="3"/>
    <n v="500"/>
    <n v="1500"/>
    <x v="0"/>
    <d v="2025-01-03T00:00:00"/>
  </r>
  <r>
    <n v="1002"/>
    <s v="Yoga Mat"/>
    <s v="Fitness"/>
    <n v="2"/>
    <n v="800"/>
    <n v="16400"/>
    <x v="1"/>
    <d v="2025-02-03T00:00:00"/>
  </r>
  <r>
    <n v="1003"/>
    <s v="Coffee Maker"/>
    <s v="Kitchenware"/>
    <n v="1"/>
    <n v="3500"/>
    <n v="3500"/>
    <x v="2"/>
    <d v="2025-03-03T00:00:00"/>
  </r>
  <r>
    <n v="1004"/>
    <s v="Bluetooth Speaker"/>
    <s v="Electronics"/>
    <n v="4"/>
    <n v="12619"/>
    <n v="16400"/>
    <x v="3"/>
    <d v="2025-04-03T00:00:00"/>
  </r>
  <r>
    <n v="1005"/>
    <s v="Running Shoes"/>
    <s v="Footwear"/>
    <n v="2"/>
    <n v="2500"/>
    <n v="5000"/>
    <x v="0"/>
    <d v="2025-05-03T00:00:00"/>
  </r>
  <r>
    <n v="1006"/>
    <s v="Smart Watch"/>
    <s v="Electronics"/>
    <n v="2"/>
    <n v="7000"/>
    <n v="14000"/>
    <x v="4"/>
    <d v="2025-06-03T00:00:00"/>
  </r>
  <r>
    <n v="1007"/>
    <s v="Treadmill"/>
    <s v="Fitness"/>
    <n v="1"/>
    <n v="12619"/>
    <n v="16400"/>
    <x v="1"/>
    <d v="2025-07-03T00:00:00"/>
  </r>
  <r>
    <n v="1008"/>
    <s v="Air Fryer"/>
    <s v="Kitchenware"/>
    <n v="3"/>
    <n v="4500"/>
    <n v="13500"/>
    <x v="2"/>
    <d v="2025-08-03T00:00:00"/>
  </r>
  <r>
    <n v="1009"/>
    <s v="Vacuum Cleaner"/>
    <s v="Appliances"/>
    <n v="2"/>
    <n v="6000"/>
    <n v="16400"/>
    <x v="0"/>
    <d v="2025-09-03T00:00:00"/>
  </r>
  <r>
    <n v="1010"/>
    <s v="Dumbbells"/>
    <s v="Fitness"/>
    <n v="2"/>
    <n v="1500"/>
    <n v="3000"/>
    <x v="3"/>
    <d v="2025-10-03T00:00:00"/>
  </r>
  <r>
    <n v="1011"/>
    <s v="Laptop Stand"/>
    <s v="Electronics"/>
    <n v="5"/>
    <n v="12619"/>
    <n v="16400"/>
    <x v="2"/>
    <d v="2025-11-03T00:00:00"/>
  </r>
  <r>
    <n v="1012"/>
    <s v="Toaster"/>
    <s v="Kitchenware"/>
    <n v="1"/>
    <n v="2200"/>
    <n v="2200"/>
    <x v="1"/>
    <d v="2025-12-03T00:00:00"/>
  </r>
  <r>
    <n v="1013"/>
    <s v="Air Purifier"/>
    <s v="Appliances"/>
    <n v="2"/>
    <n v="12000"/>
    <n v="24000"/>
    <x v="3"/>
    <s v="13-03-2025"/>
  </r>
  <r>
    <n v="1014"/>
    <s v="Resistance Bands"/>
    <s v="Fitness"/>
    <n v="2"/>
    <n v="900"/>
    <n v="16400"/>
    <x v="0"/>
    <s v="14-03-2025"/>
  </r>
  <r>
    <n v="1015"/>
    <s v="Hair Dryer"/>
    <s v="Appliances"/>
    <n v="3"/>
    <n v="1800"/>
    <n v="5400"/>
    <x v="2"/>
    <s v="15-03-2025"/>
  </r>
  <r>
    <n v="1016"/>
    <s v="Electric Kettle"/>
    <s v="Kitchenware"/>
    <n v="2"/>
    <n v="1500"/>
    <n v="16400"/>
    <x v="1"/>
    <s v="16-03-2025"/>
  </r>
  <r>
    <n v="1017"/>
    <s v="Office Chair"/>
    <s v="Furniture"/>
    <n v="1"/>
    <n v="8000"/>
    <n v="8000"/>
    <x v="3"/>
    <s v="17-03-2025"/>
  </r>
  <r>
    <n v="1018"/>
    <s v="Adjustable Dumbbells"/>
    <s v="Fitness"/>
    <n v="2"/>
    <n v="5500"/>
    <n v="11000"/>
    <x v="0"/>
    <s v="18-03-2025"/>
  </r>
  <r>
    <n v="1019"/>
    <s v="Soundbar"/>
    <s v="Electronics"/>
    <n v="1"/>
    <n v="20000"/>
    <n v="20000"/>
    <x v="2"/>
    <s v="19-03-2025"/>
  </r>
  <r>
    <n v="1020"/>
    <s v="Yoga Block"/>
    <s v="Fitness"/>
    <n v="2"/>
    <n v="1200"/>
    <n v="16400"/>
    <x v="1"/>
    <s v="20-03-2025"/>
  </r>
  <r>
    <n v="1021"/>
    <s v="Rice Cooker"/>
    <s v="Kitchenware"/>
    <n v="2"/>
    <n v="4000"/>
    <n v="8000"/>
    <x v="3"/>
    <s v="21-03-2025"/>
  </r>
  <r>
    <n v="1022"/>
    <s v="Monitor"/>
    <s v="Electronics"/>
    <n v="2"/>
    <n v="15000"/>
    <n v="16400"/>
    <x v="0"/>
    <s v="22-03-2025"/>
  </r>
  <r>
    <n v="1023"/>
    <s v="Iron"/>
    <s v="Appliances"/>
    <n v="1"/>
    <n v="2500"/>
    <n v="2500"/>
    <x v="2"/>
    <s v="23-03-2025"/>
  </r>
  <r>
    <n v="1024"/>
    <s v="Resistance Bands"/>
    <s v="Fitness"/>
    <n v="3"/>
    <n v="12619"/>
    <n v="16400"/>
    <x v="1"/>
    <s v="24-03-2025"/>
  </r>
  <r>
    <n v="1025"/>
    <s v="Smart TV"/>
    <s v="Electronics"/>
    <n v="1"/>
    <n v="40000"/>
    <n v="40000"/>
    <x v="3"/>
    <s v="25-03-2025"/>
  </r>
  <r>
    <n v="1026"/>
    <s v="Water Bottle"/>
    <s v="Kitchenware"/>
    <n v="5"/>
    <n v="200"/>
    <n v="1000"/>
    <x v="0"/>
    <s v="26-03-2025"/>
  </r>
  <r>
    <n v="1027"/>
    <s v="Sofa Set"/>
    <s v="Furniture"/>
    <n v="1"/>
    <n v="55000"/>
    <n v="55000"/>
    <x v="2"/>
    <s v="27-03-2025"/>
  </r>
  <r>
    <n v="1028"/>
    <s v="Treadmill"/>
    <s v="Fitness"/>
    <n v="2"/>
    <n v="50000"/>
    <n v="16400"/>
    <x v="1"/>
    <s v="28-03-2025"/>
  </r>
  <r>
    <n v="1029"/>
    <s v="Microwave Oven"/>
    <s v="Appliances"/>
    <n v="2"/>
    <n v="12000"/>
    <n v="24000"/>
    <x v="3"/>
    <s v="29-03-2025"/>
  </r>
  <r>
    <n v="1030"/>
    <s v="Laptop"/>
    <s v="Electronics"/>
    <n v="1"/>
    <n v="70000"/>
    <n v="70000"/>
    <x v="0"/>
    <s v="30-03-20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6284C2-B53F-43DD-BD24-EF2B52A7CA5B}" name="PivotTable2" cacheId="660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/>
  <pivotFields count="2">
    <pivotField dataField="1" showAll="0"/>
    <pivotField axis="axisRow" showAll="0">
      <items count="7">
        <item x="2"/>
        <item x="0"/>
        <item x="4"/>
        <item x="1"/>
        <item x="3"/>
        <item x="5"/>
        <item t="default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_Amount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Pivot Table for Total_Amount by" cacheId="6614" applyNumberFormats="0" applyBorderFormats="0" applyFontFormats="0" applyPatternFormats="0" applyAlignmentFormats="0" applyWidthHeightFormats="0" dataCaption="" updatedVersion="8" compact="0" compactData="0">
  <location ref="A4:B10" firstHeaderRow="1" firstDataRow="1" firstDataCol="1"/>
  <pivotFields count="8">
    <pivotField name="Order_ID" compact="0" outline="0" multipleItemSelectionAllowed="1" showAll="0"/>
    <pivotField name="Product" compact="0" outline="0" multipleItemSelectionAllowed="1" showAll="0"/>
    <pivotField name="Category" compact="0" outline="0" multipleItemSelectionAllowed="1" showAll="0"/>
    <pivotField name="Quantity" compact="0" outline="0" multipleItemSelectionAllowed="1" showAll="0"/>
    <pivotField name="Price_Per_Unit" compact="0" outline="0" multipleItemSelectionAllowed="1" showAll="0"/>
    <pivotField name="Total_Amount" dataField="1" compact="0" outline="0" multipleItemSelectionAllowed="1" showAll="0"/>
    <pivotField name="Customer_Region" axis="axisRow" compact="0" outline="0" multipleItemSelectionAllowed="1" showAll="0" sortType="ascending">
      <items count="6">
        <item x="2"/>
        <item x="0"/>
        <item x="4"/>
        <item x="1"/>
        <item x="3"/>
        <item t="default"/>
      </items>
    </pivotField>
    <pivotField name="Order_Date" compact="0" outline="0" multipleItemSelectionAllowed="1"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_Amount" fld="5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01"/>
  <sheetViews>
    <sheetView topLeftCell="A8" workbookViewId="0">
      <selection activeCell="C17" sqref="A1:M31"/>
    </sheetView>
  </sheetViews>
  <sheetFormatPr defaultColWidth="12.7109375" defaultRowHeight="15.75" customHeight="1"/>
  <cols>
    <col min="2" max="2" width="17.28515625" customWidth="1"/>
    <col min="5" max="5" width="14.85546875" customWidth="1"/>
    <col min="6" max="6" width="14.28515625" customWidth="1"/>
    <col min="7" max="7" width="17" customWidth="1"/>
    <col min="9" max="9" width="16.28515625" customWidth="1"/>
    <col min="10" max="10" width="25.42578125" customWidth="1"/>
    <col min="11" max="11" width="29.85546875" customWidth="1"/>
    <col min="12" max="12" width="14.42578125" customWidth="1"/>
    <col min="13" max="13" width="14.85546875" customWidth="1"/>
  </cols>
  <sheetData>
    <row r="1" spans="1:13" ht="14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31"/>
      <c r="M1" s="31"/>
    </row>
    <row r="2" spans="1:13" ht="14.45">
      <c r="A2" s="3">
        <v>1001</v>
      </c>
      <c r="B2" s="3" t="s">
        <v>11</v>
      </c>
      <c r="C2" s="3" t="s">
        <v>12</v>
      </c>
      <c r="D2" s="3">
        <v>3</v>
      </c>
      <c r="E2" s="3">
        <v>500</v>
      </c>
      <c r="F2" s="3">
        <v>1500</v>
      </c>
      <c r="G2" s="3" t="s">
        <v>13</v>
      </c>
      <c r="H2" s="4">
        <v>45660</v>
      </c>
      <c r="I2" s="5">
        <f t="shared" ref="I2:I31" si="0">F2-(D2*E2*0.6)</f>
        <v>600</v>
      </c>
      <c r="J2" s="5" t="str">
        <f t="shared" ref="J2:J31" si="1">TRIM(G2)</f>
        <v>North</v>
      </c>
      <c r="K2" s="5" t="str">
        <f t="shared" ref="K2:K31" si="2">UPPER(G2)</f>
        <v>NORTH</v>
      </c>
      <c r="L2" s="40" t="s">
        <v>14</v>
      </c>
      <c r="M2" s="55"/>
    </row>
    <row r="3" spans="1:13" ht="14.45">
      <c r="A3" s="6">
        <v>1002</v>
      </c>
      <c r="B3" s="6" t="s">
        <v>15</v>
      </c>
      <c r="C3" s="6" t="s">
        <v>16</v>
      </c>
      <c r="D3" s="6">
        <v>2</v>
      </c>
      <c r="E3" s="6">
        <v>800</v>
      </c>
      <c r="F3" s="6">
        <v>16400</v>
      </c>
      <c r="G3" s="6" t="s">
        <v>17</v>
      </c>
      <c r="H3" s="7">
        <v>45691</v>
      </c>
      <c r="I3" s="5">
        <f t="shared" si="0"/>
        <v>15440</v>
      </c>
      <c r="J3" s="5" t="str">
        <f t="shared" si="1"/>
        <v>South</v>
      </c>
      <c r="K3" s="5" t="str">
        <f t="shared" si="2"/>
        <v>SOUTH</v>
      </c>
      <c r="L3" s="8" t="s">
        <v>0</v>
      </c>
      <c r="M3" s="8">
        <v>1015</v>
      </c>
    </row>
    <row r="4" spans="1:13" ht="14.45">
      <c r="A4" s="3">
        <v>1003</v>
      </c>
      <c r="B4" s="3" t="s">
        <v>18</v>
      </c>
      <c r="C4" s="3" t="s">
        <v>19</v>
      </c>
      <c r="D4" s="3">
        <v>1</v>
      </c>
      <c r="E4" s="3">
        <v>3500</v>
      </c>
      <c r="F4" s="3">
        <v>3500</v>
      </c>
      <c r="G4" s="3" t="s">
        <v>20</v>
      </c>
      <c r="H4" s="4">
        <v>45719</v>
      </c>
      <c r="I4" s="5">
        <f t="shared" si="0"/>
        <v>1400</v>
      </c>
      <c r="J4" s="5" t="str">
        <f t="shared" si="1"/>
        <v>East</v>
      </c>
      <c r="K4" s="5" t="str">
        <f t="shared" si="2"/>
        <v>EAST</v>
      </c>
      <c r="L4" s="8" t="s">
        <v>5</v>
      </c>
      <c r="M4" s="9">
        <f>VLOOKUP(M3, A1:F31, 6, FALSE)</f>
        <v>5400</v>
      </c>
    </row>
    <row r="5" spans="1:13" ht="14.45">
      <c r="A5" s="6">
        <v>1004</v>
      </c>
      <c r="B5" s="6" t="s">
        <v>21</v>
      </c>
      <c r="C5" s="6" t="s">
        <v>12</v>
      </c>
      <c r="D5" s="6">
        <v>4</v>
      </c>
      <c r="E5" s="6">
        <v>12619</v>
      </c>
      <c r="F5" s="6">
        <v>16400</v>
      </c>
      <c r="G5" s="6" t="s">
        <v>22</v>
      </c>
      <c r="H5" s="7">
        <v>45750</v>
      </c>
      <c r="I5" s="5">
        <f t="shared" si="0"/>
        <v>-13885.599999999999</v>
      </c>
      <c r="J5" s="5" t="str">
        <f t="shared" si="1"/>
        <v>West</v>
      </c>
      <c r="K5" s="5" t="str">
        <f t="shared" si="2"/>
        <v>WEST</v>
      </c>
      <c r="L5" s="31"/>
      <c r="M5" s="31"/>
    </row>
    <row r="6" spans="1:13" ht="14.45">
      <c r="A6" s="3">
        <v>1005</v>
      </c>
      <c r="B6" s="3" t="s">
        <v>23</v>
      </c>
      <c r="C6" s="3" t="s">
        <v>24</v>
      </c>
      <c r="D6" s="3">
        <v>2</v>
      </c>
      <c r="E6" s="3">
        <v>2500</v>
      </c>
      <c r="F6" s="3">
        <v>5000</v>
      </c>
      <c r="G6" s="3" t="s">
        <v>13</v>
      </c>
      <c r="H6" s="4">
        <v>45780</v>
      </c>
      <c r="I6" s="5">
        <f t="shared" si="0"/>
        <v>2000</v>
      </c>
      <c r="J6" s="5" t="str">
        <f t="shared" si="1"/>
        <v>North</v>
      </c>
      <c r="K6" s="5" t="str">
        <f t="shared" si="2"/>
        <v>NORTH</v>
      </c>
      <c r="L6" s="31"/>
      <c r="M6" s="31"/>
    </row>
    <row r="7" spans="1:13" ht="14.45">
      <c r="A7" s="6">
        <v>1006</v>
      </c>
      <c r="B7" s="6" t="s">
        <v>25</v>
      </c>
      <c r="C7" s="6" t="s">
        <v>12</v>
      </c>
      <c r="D7" s="6">
        <v>2</v>
      </c>
      <c r="E7" s="6">
        <v>7000</v>
      </c>
      <c r="F7" s="6">
        <v>14000</v>
      </c>
      <c r="G7" s="6" t="s">
        <v>26</v>
      </c>
      <c r="H7" s="7">
        <v>45811</v>
      </c>
      <c r="I7" s="5">
        <f t="shared" si="0"/>
        <v>5600</v>
      </c>
      <c r="J7" s="5" t="str">
        <f t="shared" si="1"/>
        <v>NULL</v>
      </c>
      <c r="K7" s="5" t="str">
        <f t="shared" si="2"/>
        <v>NULL</v>
      </c>
      <c r="L7" s="56" t="s">
        <v>27</v>
      </c>
      <c r="M7" s="55"/>
    </row>
    <row r="8" spans="1:13" ht="14.45">
      <c r="A8" s="3">
        <v>1007</v>
      </c>
      <c r="B8" s="3" t="s">
        <v>28</v>
      </c>
      <c r="C8" s="3" t="s">
        <v>16</v>
      </c>
      <c r="D8" s="3">
        <v>1</v>
      </c>
      <c r="E8" s="3">
        <v>12619</v>
      </c>
      <c r="F8" s="3">
        <v>16400</v>
      </c>
      <c r="G8" s="3" t="s">
        <v>17</v>
      </c>
      <c r="H8" s="4">
        <v>45841</v>
      </c>
      <c r="I8" s="5">
        <f t="shared" si="0"/>
        <v>8828.6</v>
      </c>
      <c r="J8" s="5" t="str">
        <f t="shared" si="1"/>
        <v>South</v>
      </c>
      <c r="K8" s="5" t="str">
        <f t="shared" si="2"/>
        <v>SOUTH</v>
      </c>
      <c r="L8" s="8" t="s">
        <v>0</v>
      </c>
      <c r="M8" s="8">
        <v>1027</v>
      </c>
    </row>
    <row r="9" spans="1:13" ht="14.45">
      <c r="A9" s="6">
        <v>1008</v>
      </c>
      <c r="B9" s="6" t="s">
        <v>29</v>
      </c>
      <c r="C9" s="6" t="s">
        <v>19</v>
      </c>
      <c r="D9" s="6">
        <v>3</v>
      </c>
      <c r="E9" s="6">
        <v>4500</v>
      </c>
      <c r="F9" s="6">
        <v>13500</v>
      </c>
      <c r="G9" s="6" t="s">
        <v>20</v>
      </c>
      <c r="H9" s="7">
        <v>45872</v>
      </c>
      <c r="I9" s="5">
        <f t="shared" si="0"/>
        <v>5400</v>
      </c>
      <c r="J9" s="5" t="str">
        <f t="shared" si="1"/>
        <v>East</v>
      </c>
      <c r="K9" s="5" t="str">
        <f t="shared" si="2"/>
        <v>EAST</v>
      </c>
      <c r="L9" s="8" t="s">
        <v>30</v>
      </c>
      <c r="M9" s="10" t="str">
        <f t="array" ref="M9">INDEX(C1:C31, MATCH(M8, A1:A31,0))</f>
        <v>Furniture</v>
      </c>
    </row>
    <row r="10" spans="1:13" ht="14.45">
      <c r="A10" s="3">
        <v>1009</v>
      </c>
      <c r="B10" s="3" t="s">
        <v>31</v>
      </c>
      <c r="C10" s="3" t="s">
        <v>32</v>
      </c>
      <c r="D10" s="3">
        <v>2</v>
      </c>
      <c r="E10" s="3">
        <v>6000</v>
      </c>
      <c r="F10" s="3">
        <v>16400</v>
      </c>
      <c r="G10" s="3" t="s">
        <v>13</v>
      </c>
      <c r="H10" s="4">
        <v>45903</v>
      </c>
      <c r="I10" s="5">
        <f t="shared" si="0"/>
        <v>9200</v>
      </c>
      <c r="J10" s="5" t="str">
        <f t="shared" si="1"/>
        <v>North</v>
      </c>
      <c r="K10" s="5" t="str">
        <f t="shared" si="2"/>
        <v>NORTH</v>
      </c>
      <c r="L10" s="31"/>
      <c r="M10" s="31"/>
    </row>
    <row r="11" spans="1:13" ht="14.45">
      <c r="A11" s="6">
        <v>1010</v>
      </c>
      <c r="B11" s="6" t="s">
        <v>33</v>
      </c>
      <c r="C11" s="6" t="s">
        <v>16</v>
      </c>
      <c r="D11" s="6">
        <v>2</v>
      </c>
      <c r="E11" s="6">
        <v>1500</v>
      </c>
      <c r="F11" s="6">
        <v>3000</v>
      </c>
      <c r="G11" s="6" t="s">
        <v>22</v>
      </c>
      <c r="H11" s="7">
        <v>45933</v>
      </c>
      <c r="I11" s="5">
        <f t="shared" si="0"/>
        <v>1200</v>
      </c>
      <c r="J11" s="5" t="str">
        <f t="shared" si="1"/>
        <v>West</v>
      </c>
      <c r="K11" s="5" t="str">
        <f t="shared" si="2"/>
        <v>WEST</v>
      </c>
      <c r="L11" s="31"/>
      <c r="M11" s="31"/>
    </row>
    <row r="12" spans="1:13" ht="14.45">
      <c r="A12" s="3">
        <v>1011</v>
      </c>
      <c r="B12" s="3" t="s">
        <v>34</v>
      </c>
      <c r="C12" s="3" t="s">
        <v>12</v>
      </c>
      <c r="D12" s="3">
        <v>5</v>
      </c>
      <c r="E12" s="3">
        <v>12619</v>
      </c>
      <c r="F12" s="3">
        <v>16400</v>
      </c>
      <c r="G12" s="3" t="s">
        <v>20</v>
      </c>
      <c r="H12" s="4">
        <v>45964</v>
      </c>
      <c r="I12" s="5">
        <f t="shared" si="0"/>
        <v>-21457</v>
      </c>
      <c r="J12" s="5" t="str">
        <f t="shared" si="1"/>
        <v>East</v>
      </c>
      <c r="K12" s="5" t="str">
        <f t="shared" si="2"/>
        <v>EAST</v>
      </c>
      <c r="L12" s="31"/>
      <c r="M12" s="31"/>
    </row>
    <row r="13" spans="1:13" ht="14.45">
      <c r="A13" s="6">
        <v>1012</v>
      </c>
      <c r="B13" s="6" t="s">
        <v>35</v>
      </c>
      <c r="C13" s="6" t="s">
        <v>19</v>
      </c>
      <c r="D13" s="6">
        <v>1</v>
      </c>
      <c r="E13" s="6">
        <v>2200</v>
      </c>
      <c r="F13" s="6">
        <v>2200</v>
      </c>
      <c r="G13" s="6" t="s">
        <v>17</v>
      </c>
      <c r="H13" s="7">
        <v>45994</v>
      </c>
      <c r="I13" s="5">
        <f t="shared" si="0"/>
        <v>880</v>
      </c>
      <c r="J13" s="5" t="str">
        <f t="shared" si="1"/>
        <v>South</v>
      </c>
      <c r="K13" s="5" t="str">
        <f t="shared" si="2"/>
        <v>SOUTH</v>
      </c>
      <c r="L13" s="31"/>
      <c r="M13" s="31"/>
    </row>
    <row r="14" spans="1:13" ht="14.45">
      <c r="A14" s="3">
        <v>1013</v>
      </c>
      <c r="B14" s="3" t="s">
        <v>36</v>
      </c>
      <c r="C14" s="3" t="s">
        <v>32</v>
      </c>
      <c r="D14" s="3">
        <v>2</v>
      </c>
      <c r="E14" s="3">
        <v>12000</v>
      </c>
      <c r="F14" s="3">
        <v>24000</v>
      </c>
      <c r="G14" s="3" t="s">
        <v>22</v>
      </c>
      <c r="H14" s="3" t="s">
        <v>37</v>
      </c>
      <c r="I14" s="5">
        <f t="shared" si="0"/>
        <v>9600</v>
      </c>
      <c r="J14" s="5" t="str">
        <f t="shared" si="1"/>
        <v>West</v>
      </c>
      <c r="K14" s="5" t="str">
        <f t="shared" si="2"/>
        <v>WEST</v>
      </c>
      <c r="L14" s="31"/>
      <c r="M14" s="31"/>
    </row>
    <row r="15" spans="1:13" ht="14.45">
      <c r="A15" s="6">
        <v>1014</v>
      </c>
      <c r="B15" s="6" t="s">
        <v>38</v>
      </c>
      <c r="C15" s="6" t="s">
        <v>16</v>
      </c>
      <c r="D15" s="6">
        <v>2</v>
      </c>
      <c r="E15" s="6">
        <v>900</v>
      </c>
      <c r="F15" s="6">
        <v>16400</v>
      </c>
      <c r="G15" s="6" t="s">
        <v>13</v>
      </c>
      <c r="H15" s="6" t="s">
        <v>39</v>
      </c>
      <c r="I15" s="5">
        <f t="shared" si="0"/>
        <v>15320</v>
      </c>
      <c r="J15" s="5" t="str">
        <f t="shared" si="1"/>
        <v>North</v>
      </c>
      <c r="K15" s="5" t="str">
        <f t="shared" si="2"/>
        <v>NORTH</v>
      </c>
      <c r="L15" s="31"/>
      <c r="M15" s="31"/>
    </row>
    <row r="16" spans="1:13" ht="14.45">
      <c r="A16" s="3">
        <v>1015</v>
      </c>
      <c r="B16" s="3" t="s">
        <v>40</v>
      </c>
      <c r="C16" s="3" t="s">
        <v>32</v>
      </c>
      <c r="D16" s="3">
        <v>3</v>
      </c>
      <c r="E16" s="3">
        <v>1800</v>
      </c>
      <c r="F16" s="3">
        <v>5400</v>
      </c>
      <c r="G16" s="3" t="s">
        <v>20</v>
      </c>
      <c r="H16" s="3" t="s">
        <v>41</v>
      </c>
      <c r="I16" s="5">
        <f t="shared" si="0"/>
        <v>2160</v>
      </c>
      <c r="J16" s="5" t="str">
        <f t="shared" si="1"/>
        <v>East</v>
      </c>
      <c r="K16" s="5" t="str">
        <f t="shared" si="2"/>
        <v>EAST</v>
      </c>
      <c r="L16" s="31"/>
      <c r="M16" s="31"/>
    </row>
    <row r="17" spans="1:11" ht="14.45">
      <c r="A17" s="6">
        <v>1016</v>
      </c>
      <c r="B17" s="6" t="s">
        <v>42</v>
      </c>
      <c r="C17" s="6" t="s">
        <v>19</v>
      </c>
      <c r="D17" s="6">
        <v>2</v>
      </c>
      <c r="E17" s="6">
        <v>1500</v>
      </c>
      <c r="F17" s="6">
        <v>16400</v>
      </c>
      <c r="G17" s="6" t="s">
        <v>17</v>
      </c>
      <c r="H17" s="6" t="s">
        <v>43</v>
      </c>
      <c r="I17" s="5">
        <f t="shared" si="0"/>
        <v>14600</v>
      </c>
      <c r="J17" s="5" t="str">
        <f t="shared" si="1"/>
        <v>South</v>
      </c>
      <c r="K17" s="5" t="str">
        <f t="shared" si="2"/>
        <v>SOUTH</v>
      </c>
    </row>
    <row r="18" spans="1:11" ht="14.45">
      <c r="A18" s="3">
        <v>1017</v>
      </c>
      <c r="B18" s="3" t="s">
        <v>44</v>
      </c>
      <c r="C18" s="3" t="s">
        <v>45</v>
      </c>
      <c r="D18" s="3">
        <v>1</v>
      </c>
      <c r="E18" s="3">
        <v>8000</v>
      </c>
      <c r="F18" s="3">
        <v>8000</v>
      </c>
      <c r="G18" s="3" t="s">
        <v>22</v>
      </c>
      <c r="H18" s="3" t="s">
        <v>46</v>
      </c>
      <c r="I18" s="5">
        <f t="shared" si="0"/>
        <v>3200</v>
      </c>
      <c r="J18" s="5" t="str">
        <f t="shared" si="1"/>
        <v>West</v>
      </c>
      <c r="K18" s="5" t="str">
        <f t="shared" si="2"/>
        <v>WEST</v>
      </c>
    </row>
    <row r="19" spans="1:11" ht="14.45">
      <c r="A19" s="6">
        <v>1018</v>
      </c>
      <c r="B19" s="6" t="s">
        <v>47</v>
      </c>
      <c r="C19" s="6" t="s">
        <v>16</v>
      </c>
      <c r="D19" s="6">
        <v>2</v>
      </c>
      <c r="E19" s="6">
        <v>5500</v>
      </c>
      <c r="F19" s="6">
        <v>11000</v>
      </c>
      <c r="G19" s="6" t="s">
        <v>13</v>
      </c>
      <c r="H19" s="6" t="s">
        <v>48</v>
      </c>
      <c r="I19" s="5">
        <f t="shared" si="0"/>
        <v>4400</v>
      </c>
      <c r="J19" s="5" t="str">
        <f t="shared" si="1"/>
        <v>North</v>
      </c>
      <c r="K19" s="5" t="str">
        <f t="shared" si="2"/>
        <v>NORTH</v>
      </c>
    </row>
    <row r="20" spans="1:11" ht="14.45">
      <c r="A20" s="3">
        <v>1019</v>
      </c>
      <c r="B20" s="3" t="s">
        <v>49</v>
      </c>
      <c r="C20" s="3" t="s">
        <v>12</v>
      </c>
      <c r="D20" s="3">
        <v>1</v>
      </c>
      <c r="E20" s="3">
        <v>20000</v>
      </c>
      <c r="F20" s="3">
        <v>20000</v>
      </c>
      <c r="G20" s="3" t="s">
        <v>20</v>
      </c>
      <c r="H20" s="3" t="s">
        <v>50</v>
      </c>
      <c r="I20" s="5">
        <f t="shared" si="0"/>
        <v>8000</v>
      </c>
      <c r="J20" s="5" t="str">
        <f t="shared" si="1"/>
        <v>East</v>
      </c>
      <c r="K20" s="5" t="str">
        <f t="shared" si="2"/>
        <v>EAST</v>
      </c>
    </row>
    <row r="21" spans="1:11" ht="14.45">
      <c r="A21" s="6">
        <v>1020</v>
      </c>
      <c r="B21" s="6" t="s">
        <v>51</v>
      </c>
      <c r="C21" s="6" t="s">
        <v>16</v>
      </c>
      <c r="D21" s="6">
        <v>2</v>
      </c>
      <c r="E21" s="6">
        <v>1200</v>
      </c>
      <c r="F21" s="6">
        <v>16400</v>
      </c>
      <c r="G21" s="6" t="s">
        <v>17</v>
      </c>
      <c r="H21" s="6" t="s">
        <v>52</v>
      </c>
      <c r="I21" s="5">
        <f t="shared" si="0"/>
        <v>14960</v>
      </c>
      <c r="J21" s="5" t="str">
        <f t="shared" si="1"/>
        <v>South</v>
      </c>
      <c r="K21" s="5" t="str">
        <f t="shared" si="2"/>
        <v>SOUTH</v>
      </c>
    </row>
    <row r="22" spans="1:11" ht="14.45">
      <c r="A22" s="3">
        <v>1021</v>
      </c>
      <c r="B22" s="3" t="s">
        <v>53</v>
      </c>
      <c r="C22" s="3" t="s">
        <v>19</v>
      </c>
      <c r="D22" s="3">
        <v>2</v>
      </c>
      <c r="E22" s="3">
        <v>4000</v>
      </c>
      <c r="F22" s="3">
        <v>8000</v>
      </c>
      <c r="G22" s="3" t="s">
        <v>22</v>
      </c>
      <c r="H22" s="3" t="s">
        <v>54</v>
      </c>
      <c r="I22" s="5">
        <f t="shared" si="0"/>
        <v>3200</v>
      </c>
      <c r="J22" s="5" t="str">
        <f t="shared" si="1"/>
        <v>West</v>
      </c>
      <c r="K22" s="5" t="str">
        <f t="shared" si="2"/>
        <v>WEST</v>
      </c>
    </row>
    <row r="23" spans="1:11" ht="14.45">
      <c r="A23" s="6">
        <v>1022</v>
      </c>
      <c r="B23" s="6" t="s">
        <v>55</v>
      </c>
      <c r="C23" s="6" t="s">
        <v>12</v>
      </c>
      <c r="D23" s="6">
        <v>2</v>
      </c>
      <c r="E23" s="6">
        <v>15000</v>
      </c>
      <c r="F23" s="6">
        <v>16400</v>
      </c>
      <c r="G23" s="6" t="s">
        <v>13</v>
      </c>
      <c r="H23" s="6" t="s">
        <v>56</v>
      </c>
      <c r="I23" s="5">
        <f t="shared" si="0"/>
        <v>-1600</v>
      </c>
      <c r="J23" s="5" t="str">
        <f t="shared" si="1"/>
        <v>North</v>
      </c>
      <c r="K23" s="5" t="str">
        <f t="shared" si="2"/>
        <v>NORTH</v>
      </c>
    </row>
    <row r="24" spans="1:11" ht="14.45">
      <c r="A24" s="3">
        <v>1023</v>
      </c>
      <c r="B24" s="3" t="s">
        <v>57</v>
      </c>
      <c r="C24" s="3" t="s">
        <v>32</v>
      </c>
      <c r="D24" s="3">
        <v>1</v>
      </c>
      <c r="E24" s="3">
        <v>2500</v>
      </c>
      <c r="F24" s="3">
        <v>2500</v>
      </c>
      <c r="G24" s="3" t="s">
        <v>20</v>
      </c>
      <c r="H24" s="3" t="s">
        <v>58</v>
      </c>
      <c r="I24" s="5">
        <f t="shared" si="0"/>
        <v>1000</v>
      </c>
      <c r="J24" s="5" t="str">
        <f t="shared" si="1"/>
        <v>East</v>
      </c>
      <c r="K24" s="5" t="str">
        <f t="shared" si="2"/>
        <v>EAST</v>
      </c>
    </row>
    <row r="25" spans="1:11" ht="14.45">
      <c r="A25" s="6">
        <v>1024</v>
      </c>
      <c r="B25" s="6" t="s">
        <v>38</v>
      </c>
      <c r="C25" s="6" t="s">
        <v>16</v>
      </c>
      <c r="D25" s="6">
        <v>3</v>
      </c>
      <c r="E25" s="6">
        <v>12619</v>
      </c>
      <c r="F25" s="6">
        <v>16400</v>
      </c>
      <c r="G25" s="6" t="s">
        <v>17</v>
      </c>
      <c r="H25" s="6" t="s">
        <v>59</v>
      </c>
      <c r="I25" s="5">
        <f t="shared" si="0"/>
        <v>-6314.2000000000007</v>
      </c>
      <c r="J25" s="5" t="str">
        <f t="shared" si="1"/>
        <v>South</v>
      </c>
      <c r="K25" s="5" t="str">
        <f t="shared" si="2"/>
        <v>SOUTH</v>
      </c>
    </row>
    <row r="26" spans="1:11" ht="14.45">
      <c r="A26" s="3">
        <v>1025</v>
      </c>
      <c r="B26" s="3" t="s">
        <v>60</v>
      </c>
      <c r="C26" s="3" t="s">
        <v>12</v>
      </c>
      <c r="D26" s="3">
        <v>1</v>
      </c>
      <c r="E26" s="3">
        <v>40000</v>
      </c>
      <c r="F26" s="3">
        <v>40000</v>
      </c>
      <c r="G26" s="3" t="s">
        <v>22</v>
      </c>
      <c r="H26" s="3" t="s">
        <v>61</v>
      </c>
      <c r="I26" s="5">
        <f t="shared" si="0"/>
        <v>16000</v>
      </c>
      <c r="J26" s="5" t="str">
        <f t="shared" si="1"/>
        <v>West</v>
      </c>
      <c r="K26" s="5" t="str">
        <f t="shared" si="2"/>
        <v>WEST</v>
      </c>
    </row>
    <row r="27" spans="1:11" ht="14.45">
      <c r="A27" s="6">
        <v>1026</v>
      </c>
      <c r="B27" s="6" t="s">
        <v>62</v>
      </c>
      <c r="C27" s="6" t="s">
        <v>19</v>
      </c>
      <c r="D27" s="6">
        <v>5</v>
      </c>
      <c r="E27" s="6">
        <v>200</v>
      </c>
      <c r="F27" s="6">
        <v>1000</v>
      </c>
      <c r="G27" s="6" t="s">
        <v>13</v>
      </c>
      <c r="H27" s="6" t="s">
        <v>63</v>
      </c>
      <c r="I27" s="5">
        <f t="shared" si="0"/>
        <v>400</v>
      </c>
      <c r="J27" s="5" t="str">
        <f t="shared" si="1"/>
        <v>North</v>
      </c>
      <c r="K27" s="5" t="str">
        <f t="shared" si="2"/>
        <v>NORTH</v>
      </c>
    </row>
    <row r="28" spans="1:11" ht="14.45">
      <c r="A28" s="3">
        <v>1027</v>
      </c>
      <c r="B28" s="3" t="s">
        <v>64</v>
      </c>
      <c r="C28" s="3" t="s">
        <v>45</v>
      </c>
      <c r="D28" s="3">
        <v>1</v>
      </c>
      <c r="E28" s="3">
        <v>55000</v>
      </c>
      <c r="F28" s="3">
        <v>55000</v>
      </c>
      <c r="G28" s="3" t="s">
        <v>20</v>
      </c>
      <c r="H28" s="3" t="s">
        <v>65</v>
      </c>
      <c r="I28" s="5">
        <f t="shared" si="0"/>
        <v>22000</v>
      </c>
      <c r="J28" s="5" t="str">
        <f t="shared" si="1"/>
        <v>East</v>
      </c>
      <c r="K28" s="5" t="str">
        <f t="shared" si="2"/>
        <v>EAST</v>
      </c>
    </row>
    <row r="29" spans="1:11" ht="14.45">
      <c r="A29" s="6">
        <v>1028</v>
      </c>
      <c r="B29" s="6" t="s">
        <v>28</v>
      </c>
      <c r="C29" s="6" t="s">
        <v>16</v>
      </c>
      <c r="D29" s="6">
        <v>2</v>
      </c>
      <c r="E29" s="6">
        <v>50000</v>
      </c>
      <c r="F29" s="6">
        <v>16400</v>
      </c>
      <c r="G29" s="6" t="s">
        <v>17</v>
      </c>
      <c r="H29" s="6" t="s">
        <v>66</v>
      </c>
      <c r="I29" s="5">
        <f t="shared" si="0"/>
        <v>-43600</v>
      </c>
      <c r="J29" s="5" t="str">
        <f t="shared" si="1"/>
        <v>South</v>
      </c>
      <c r="K29" s="5" t="str">
        <f t="shared" si="2"/>
        <v>SOUTH</v>
      </c>
    </row>
    <row r="30" spans="1:11" ht="14.45">
      <c r="A30" s="3">
        <v>1029</v>
      </c>
      <c r="B30" s="3" t="s">
        <v>67</v>
      </c>
      <c r="C30" s="3" t="s">
        <v>32</v>
      </c>
      <c r="D30" s="3">
        <v>2</v>
      </c>
      <c r="E30" s="3">
        <v>12000</v>
      </c>
      <c r="F30" s="3">
        <v>24000</v>
      </c>
      <c r="G30" s="3" t="s">
        <v>22</v>
      </c>
      <c r="H30" s="3" t="s">
        <v>68</v>
      </c>
      <c r="I30" s="5">
        <f t="shared" si="0"/>
        <v>9600</v>
      </c>
      <c r="J30" s="5" t="str">
        <f t="shared" si="1"/>
        <v>West</v>
      </c>
      <c r="K30" s="5" t="str">
        <f t="shared" si="2"/>
        <v>WEST</v>
      </c>
    </row>
    <row r="31" spans="1:11" ht="14.45">
      <c r="A31" s="6">
        <v>1030</v>
      </c>
      <c r="B31" s="6" t="s">
        <v>69</v>
      </c>
      <c r="C31" s="6" t="s">
        <v>12</v>
      </c>
      <c r="D31" s="6">
        <v>1</v>
      </c>
      <c r="E31" s="6">
        <v>70000</v>
      </c>
      <c r="F31" s="6">
        <v>70000</v>
      </c>
      <c r="G31" s="6" t="s">
        <v>13</v>
      </c>
      <c r="H31" s="6" t="s">
        <v>70</v>
      </c>
      <c r="I31" s="5">
        <f t="shared" si="0"/>
        <v>28000</v>
      </c>
      <c r="J31" s="5" t="str">
        <f t="shared" si="1"/>
        <v>North</v>
      </c>
      <c r="K31" s="5" t="str">
        <f t="shared" si="2"/>
        <v>NORTH</v>
      </c>
    </row>
    <row r="32" spans="1:11" ht="13.15">
      <c r="A32" s="31"/>
      <c r="B32" s="31"/>
      <c r="C32" s="31"/>
      <c r="D32" s="31"/>
      <c r="E32" s="31"/>
      <c r="F32" s="31"/>
      <c r="G32" s="31"/>
      <c r="H32" s="31"/>
      <c r="I32" s="5"/>
      <c r="J32" s="5"/>
      <c r="K32" s="5"/>
    </row>
    <row r="33" spans="1:27" ht="13.15">
      <c r="A33" s="31"/>
      <c r="B33" s="31"/>
      <c r="C33" s="31"/>
      <c r="D33" s="31"/>
      <c r="E33" s="31"/>
      <c r="F33" s="31"/>
      <c r="G33" s="31"/>
      <c r="H33" s="31"/>
      <c r="I33" s="5"/>
      <c r="J33" s="5"/>
      <c r="K33" s="5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</row>
    <row r="34" spans="1:27" ht="13.15">
      <c r="A34" s="31"/>
      <c r="B34" s="31"/>
      <c r="C34" s="31"/>
      <c r="D34" s="31"/>
      <c r="E34" s="31"/>
      <c r="F34" s="31"/>
      <c r="G34" s="31"/>
      <c r="H34" s="31"/>
      <c r="I34" s="5"/>
      <c r="J34" s="5"/>
      <c r="K34" s="5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</row>
    <row r="35" spans="1:27" ht="25.9">
      <c r="A35" s="11" t="s">
        <v>71</v>
      </c>
      <c r="B35" s="31"/>
      <c r="C35" s="31"/>
      <c r="D35" s="31"/>
      <c r="E35" s="31"/>
      <c r="F35" s="31"/>
      <c r="G35" s="31"/>
      <c r="H35" s="31"/>
      <c r="I35" s="5"/>
      <c r="J35" s="5"/>
      <c r="K35" s="5" t="s">
        <v>72</v>
      </c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</row>
    <row r="36" spans="1:27" ht="13.15">
      <c r="A36" s="31"/>
      <c r="B36" s="31"/>
      <c r="C36" s="31"/>
      <c r="D36" s="31"/>
      <c r="E36" s="31"/>
      <c r="F36" s="31"/>
      <c r="G36" s="31"/>
      <c r="H36" s="31"/>
      <c r="I36" s="5"/>
      <c r="J36" s="5"/>
      <c r="K36" s="5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</row>
    <row r="37" spans="1:27" ht="13.15">
      <c r="A37" s="12" t="s">
        <v>73</v>
      </c>
      <c r="B37" s="12"/>
      <c r="C37" s="12"/>
      <c r="D37" s="12"/>
      <c r="E37" s="12"/>
      <c r="F37" s="12"/>
      <c r="G37" s="12"/>
      <c r="H37" s="12"/>
      <c r="I37" s="5"/>
      <c r="J37" s="5"/>
      <c r="K37" s="2" t="s">
        <v>74</v>
      </c>
      <c r="L37" s="31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</row>
    <row r="38" spans="1:27" ht="13.15">
      <c r="A38" s="13" t="s">
        <v>75</v>
      </c>
      <c r="B38" s="31"/>
      <c r="C38" s="31"/>
      <c r="D38" s="31"/>
      <c r="E38" s="31"/>
      <c r="F38" s="31"/>
      <c r="G38" s="31"/>
      <c r="H38" s="31"/>
      <c r="I38" s="5"/>
      <c r="J38" s="5"/>
      <c r="K38" s="5">
        <f>ROUND(AVERAGE(D2:D31), 0)</f>
        <v>2</v>
      </c>
      <c r="L38" s="13" t="s">
        <v>76</v>
      </c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</row>
    <row r="39" spans="1:27" ht="13.15">
      <c r="A39" s="13" t="s">
        <v>77</v>
      </c>
      <c r="B39" s="31"/>
      <c r="C39" s="31"/>
      <c r="D39" s="31"/>
      <c r="E39" s="31"/>
      <c r="F39" s="31"/>
      <c r="G39" s="31"/>
      <c r="H39" s="31"/>
      <c r="I39" s="5"/>
      <c r="J39" s="5"/>
      <c r="K39" s="5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</row>
    <row r="40" spans="1:27" ht="13.15">
      <c r="A40" s="13" t="s">
        <v>78</v>
      </c>
      <c r="B40" s="31"/>
      <c r="C40" s="31"/>
      <c r="D40" s="31"/>
      <c r="E40" s="31"/>
      <c r="F40" s="31"/>
      <c r="G40" s="31"/>
      <c r="H40" s="31"/>
      <c r="I40" s="5"/>
      <c r="J40" s="5"/>
      <c r="K40" s="5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</row>
    <row r="41" spans="1:27" ht="13.15">
      <c r="A41" s="13" t="s">
        <v>79</v>
      </c>
      <c r="B41" s="31"/>
      <c r="C41" s="31"/>
      <c r="D41" s="31"/>
      <c r="E41" s="31"/>
      <c r="F41" s="31"/>
      <c r="G41" s="31"/>
      <c r="H41" s="31"/>
      <c r="I41" s="5"/>
      <c r="J41" s="5"/>
      <c r="K41" s="2" t="s">
        <v>80</v>
      </c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</row>
    <row r="42" spans="1:27" ht="13.15">
      <c r="A42" s="31"/>
      <c r="B42" s="31"/>
      <c r="C42" s="31"/>
      <c r="D42" s="31"/>
      <c r="E42" s="31"/>
      <c r="F42" s="31"/>
      <c r="G42" s="31"/>
      <c r="H42" s="31"/>
      <c r="I42" s="5"/>
      <c r="J42" s="5"/>
      <c r="K42" s="5">
        <f>ROUND(AVERAGE(E2:E31), 0)</f>
        <v>12619</v>
      </c>
      <c r="L42" s="13" t="s">
        <v>81</v>
      </c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</row>
    <row r="43" spans="1:27" ht="13.15">
      <c r="A43" s="12" t="s">
        <v>82</v>
      </c>
      <c r="B43" s="12"/>
      <c r="C43" s="12"/>
      <c r="D43" s="12"/>
      <c r="E43" s="12"/>
      <c r="F43" s="12"/>
      <c r="G43" s="12"/>
      <c r="H43" s="12"/>
      <c r="I43" s="5"/>
      <c r="J43" s="5"/>
      <c r="K43" s="5"/>
      <c r="L43" s="31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</row>
    <row r="44" spans="1:27" ht="13.15">
      <c r="A44" s="13" t="s">
        <v>83</v>
      </c>
      <c r="B44" s="31"/>
      <c r="C44" s="31"/>
      <c r="D44" s="31"/>
      <c r="E44" s="31"/>
      <c r="F44" s="31"/>
      <c r="G44" s="31"/>
      <c r="H44" s="31"/>
      <c r="I44" s="5"/>
      <c r="J44" s="5"/>
      <c r="K44" s="5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</row>
    <row r="45" spans="1:27" ht="13.15">
      <c r="A45" s="13" t="s">
        <v>84</v>
      </c>
      <c r="B45" s="31"/>
      <c r="C45" s="31"/>
      <c r="D45" s="31"/>
      <c r="E45" s="31"/>
      <c r="F45" s="31"/>
      <c r="G45" s="31"/>
      <c r="H45" s="31"/>
      <c r="I45" s="5"/>
      <c r="J45" s="5"/>
      <c r="K45" s="2" t="s">
        <v>85</v>
      </c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</row>
    <row r="46" spans="1:27" ht="13.15">
      <c r="A46" s="13" t="s">
        <v>86</v>
      </c>
      <c r="B46" s="31"/>
      <c r="C46" s="31"/>
      <c r="D46" s="31"/>
      <c r="E46" s="31"/>
      <c r="F46" s="31"/>
      <c r="G46" s="31"/>
      <c r="H46" s="31"/>
      <c r="I46" s="5"/>
      <c r="J46" s="5"/>
      <c r="K46" s="5">
        <f>ROUND(AVERAGE(F2:F31), 0)</f>
        <v>16400</v>
      </c>
      <c r="L46" s="13" t="s">
        <v>87</v>
      </c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</row>
    <row r="47" spans="1:27" ht="13.15">
      <c r="A47" s="31"/>
      <c r="B47" s="31"/>
      <c r="C47" s="31"/>
      <c r="D47" s="31"/>
      <c r="E47" s="31"/>
      <c r="F47" s="31"/>
      <c r="G47" s="31"/>
      <c r="H47" s="31"/>
      <c r="I47" s="5"/>
      <c r="J47" s="5"/>
      <c r="K47" s="5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</row>
    <row r="48" spans="1:27" ht="13.15">
      <c r="A48" s="12" t="s">
        <v>88</v>
      </c>
      <c r="B48" s="12"/>
      <c r="C48" s="12"/>
      <c r="D48" s="12"/>
      <c r="E48" s="12"/>
      <c r="F48" s="12"/>
      <c r="G48" s="12"/>
      <c r="H48" s="12"/>
      <c r="I48" s="5"/>
      <c r="J48" s="5"/>
      <c r="K48" s="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</row>
    <row r="49" spans="1:27" ht="13.15">
      <c r="A49" s="13" t="s">
        <v>89</v>
      </c>
      <c r="B49" s="31"/>
      <c r="C49" s="31"/>
      <c r="D49" s="31"/>
      <c r="E49" s="31"/>
      <c r="F49" s="31"/>
      <c r="G49" s="31"/>
      <c r="H49" s="31"/>
      <c r="I49" s="5"/>
      <c r="J49" s="5"/>
      <c r="K49" s="5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</row>
    <row r="50" spans="1:27" ht="13.15">
      <c r="A50" s="31"/>
      <c r="B50" s="31"/>
      <c r="C50" s="31"/>
      <c r="D50" s="31"/>
      <c r="E50" s="31"/>
      <c r="F50" s="31"/>
      <c r="G50" s="31"/>
      <c r="H50" s="31"/>
      <c r="I50" s="5"/>
      <c r="J50" s="5"/>
      <c r="K50" s="5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</row>
    <row r="51" spans="1:27" ht="13.15">
      <c r="A51" s="12" t="s">
        <v>90</v>
      </c>
      <c r="B51" s="12"/>
      <c r="C51" s="12"/>
      <c r="D51" s="12"/>
      <c r="E51" s="12"/>
      <c r="F51" s="12"/>
      <c r="G51" s="12"/>
      <c r="H51" s="12"/>
      <c r="I51" s="5"/>
      <c r="J51" s="5"/>
      <c r="K51" s="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</row>
    <row r="52" spans="1:27" ht="13.15">
      <c r="A52" s="31"/>
      <c r="B52" s="31"/>
      <c r="C52" s="31"/>
      <c r="D52" s="31"/>
      <c r="E52" s="31"/>
      <c r="F52" s="31"/>
      <c r="G52" s="31"/>
      <c r="H52" s="31"/>
      <c r="I52" s="5"/>
      <c r="J52" s="5"/>
      <c r="K52" s="5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</row>
    <row r="53" spans="1:27" ht="13.15">
      <c r="A53" s="31"/>
      <c r="B53" s="31"/>
      <c r="C53" s="31"/>
      <c r="D53" s="31"/>
      <c r="E53" s="31"/>
      <c r="F53" s="31"/>
      <c r="G53" s="31"/>
      <c r="H53" s="31"/>
      <c r="I53" s="5"/>
      <c r="J53" s="5"/>
      <c r="K53" s="5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</row>
    <row r="54" spans="1:27" ht="13.15">
      <c r="A54" s="12" t="s">
        <v>91</v>
      </c>
      <c r="B54" s="12"/>
      <c r="C54" s="12"/>
      <c r="D54" s="12"/>
      <c r="E54" s="12"/>
      <c r="F54" s="12"/>
      <c r="G54" s="12"/>
      <c r="H54" s="12"/>
      <c r="I54" s="5"/>
      <c r="J54" s="5"/>
      <c r="K54" s="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</row>
    <row r="55" spans="1:27" ht="14.45">
      <c r="A55" s="14" t="s">
        <v>92</v>
      </c>
      <c r="B55" s="31"/>
      <c r="C55" s="31"/>
      <c r="D55" s="31"/>
      <c r="E55" s="31"/>
      <c r="F55" s="31"/>
      <c r="G55" s="31"/>
      <c r="H55" s="31"/>
      <c r="I55" s="5"/>
      <c r="J55" s="5"/>
      <c r="K55" s="5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</row>
    <row r="56" spans="1:27" ht="13.15">
      <c r="A56" s="31"/>
      <c r="B56" s="31"/>
      <c r="C56" s="31"/>
      <c r="D56" s="31"/>
      <c r="E56" s="31"/>
      <c r="F56" s="31"/>
      <c r="G56" s="31"/>
      <c r="H56" s="31"/>
      <c r="I56" s="5"/>
      <c r="J56" s="5"/>
      <c r="K56" s="5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</row>
    <row r="57" spans="1:27" ht="13.15">
      <c r="A57" s="13" t="s">
        <v>93</v>
      </c>
      <c r="B57" s="31"/>
      <c r="C57" s="31"/>
      <c r="D57" s="31"/>
      <c r="E57" s="31"/>
      <c r="F57" s="31"/>
      <c r="G57" s="31"/>
      <c r="H57" s="31"/>
      <c r="I57" s="5"/>
      <c r="J57" s="5"/>
      <c r="K57" s="5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</row>
    <row r="58" spans="1:27" ht="13.15">
      <c r="A58" s="13" t="s">
        <v>94</v>
      </c>
      <c r="B58" s="31"/>
      <c r="C58" s="31"/>
      <c r="D58" s="31"/>
      <c r="E58" s="31"/>
      <c r="F58" s="31"/>
      <c r="G58" s="31"/>
      <c r="H58" s="31"/>
      <c r="I58" s="5"/>
      <c r="J58" s="5"/>
      <c r="K58" s="5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</row>
    <row r="59" spans="1:27" ht="13.15">
      <c r="A59" s="13" t="s">
        <v>95</v>
      </c>
      <c r="B59" s="31"/>
      <c r="C59" s="31"/>
      <c r="D59" s="31"/>
      <c r="E59" s="31"/>
      <c r="F59" s="31"/>
      <c r="G59" s="31"/>
      <c r="H59" s="31"/>
      <c r="I59" s="5"/>
      <c r="J59" s="5"/>
      <c r="K59" s="5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</row>
    <row r="60" spans="1:27" ht="13.15">
      <c r="A60" s="31"/>
      <c r="B60" s="31"/>
      <c r="C60" s="31"/>
      <c r="D60" s="31"/>
      <c r="E60" s="31"/>
      <c r="F60" s="31"/>
      <c r="G60" s="31"/>
      <c r="H60" s="31"/>
      <c r="I60" s="5"/>
      <c r="J60" s="5"/>
      <c r="K60" s="5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</row>
    <row r="61" spans="1:27" ht="13.15">
      <c r="A61" s="31"/>
      <c r="B61" s="31"/>
      <c r="C61" s="31"/>
      <c r="D61" s="31"/>
      <c r="E61" s="31"/>
      <c r="F61" s="31"/>
      <c r="G61" s="31"/>
      <c r="H61" s="31"/>
      <c r="I61" s="5"/>
      <c r="J61" s="5"/>
      <c r="K61" s="5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</row>
    <row r="62" spans="1:27" ht="13.15">
      <c r="A62" s="12" t="s">
        <v>96</v>
      </c>
      <c r="B62" s="12"/>
      <c r="C62" s="12"/>
      <c r="D62" s="12"/>
      <c r="E62" s="12"/>
      <c r="F62" s="12"/>
      <c r="G62" s="12"/>
      <c r="H62" s="12"/>
      <c r="I62" s="2"/>
      <c r="J62" s="2"/>
      <c r="K62" s="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</row>
    <row r="63" spans="1:27" ht="13.15">
      <c r="A63" s="13" t="s">
        <v>97</v>
      </c>
      <c r="B63" s="31"/>
      <c r="C63" s="31"/>
      <c r="D63" s="31"/>
      <c r="E63" s="31"/>
      <c r="F63" s="31"/>
      <c r="G63" s="31"/>
      <c r="H63" s="31"/>
      <c r="I63" s="5"/>
      <c r="J63" s="5"/>
      <c r="K63" s="5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</row>
    <row r="64" spans="1:27" ht="13.15">
      <c r="A64" s="15" t="s">
        <v>98</v>
      </c>
      <c r="B64" s="31"/>
      <c r="C64" s="31"/>
      <c r="D64" s="31"/>
      <c r="E64" s="31"/>
      <c r="F64" s="31"/>
      <c r="G64" s="31"/>
      <c r="H64" s="31"/>
      <c r="I64" s="5"/>
      <c r="J64" s="5"/>
      <c r="K64" s="5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</row>
    <row r="65" spans="1:27" ht="13.15">
      <c r="A65" s="16"/>
      <c r="B65" s="31"/>
      <c r="C65" s="31"/>
      <c r="D65" s="31"/>
      <c r="E65" s="31"/>
      <c r="F65" s="31"/>
      <c r="G65" s="31"/>
      <c r="H65" s="31"/>
      <c r="I65" s="5"/>
      <c r="J65" s="5"/>
      <c r="K65" s="5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</row>
    <row r="66" spans="1:27" ht="13.15">
      <c r="A66" s="16" t="s">
        <v>99</v>
      </c>
      <c r="B66" s="12"/>
      <c r="C66" s="12"/>
      <c r="D66" s="12"/>
      <c r="E66" s="12"/>
      <c r="F66" s="12"/>
      <c r="G66" s="12"/>
      <c r="H66" s="12"/>
      <c r="I66" s="2"/>
      <c r="J66" s="2"/>
      <c r="K66" s="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r="67" spans="1:27" ht="13.15">
      <c r="A67" s="13" t="s">
        <v>100</v>
      </c>
      <c r="B67" s="31"/>
      <c r="C67" s="31"/>
      <c r="D67" s="31"/>
      <c r="E67" s="31"/>
      <c r="F67" s="31"/>
      <c r="G67" s="31"/>
      <c r="H67" s="31"/>
      <c r="I67" s="5"/>
      <c r="J67" s="5"/>
      <c r="K67" s="5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</row>
    <row r="68" spans="1:27" ht="13.15">
      <c r="A68" s="15" t="s">
        <v>101</v>
      </c>
      <c r="B68" s="31"/>
      <c r="C68" s="31"/>
      <c r="D68" s="31"/>
      <c r="E68" s="31"/>
      <c r="F68" s="31"/>
      <c r="G68" s="31"/>
      <c r="H68" s="31"/>
      <c r="I68" s="5"/>
      <c r="J68" s="5"/>
      <c r="K68" s="5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</row>
    <row r="69" spans="1:27" ht="13.15">
      <c r="A69" s="15"/>
      <c r="B69" s="31"/>
      <c r="C69" s="31"/>
      <c r="D69" s="31"/>
      <c r="E69" s="31"/>
      <c r="F69" s="31"/>
      <c r="G69" s="31"/>
      <c r="H69" s="31"/>
      <c r="I69" s="5"/>
      <c r="J69" s="5"/>
      <c r="K69" s="5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</row>
    <row r="70" spans="1:27" ht="13.15">
      <c r="A70" s="16" t="s">
        <v>102</v>
      </c>
      <c r="B70" s="12"/>
      <c r="C70" s="12"/>
      <c r="D70" s="12"/>
      <c r="E70" s="12"/>
      <c r="F70" s="12"/>
      <c r="G70" s="12"/>
      <c r="H70" s="12"/>
      <c r="I70" s="2"/>
      <c r="J70" s="2"/>
      <c r="K70" s="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 spans="1:27" ht="13.15">
      <c r="A71" s="41" t="s">
        <v>103</v>
      </c>
      <c r="B71" s="57"/>
      <c r="C71" s="55"/>
      <c r="D71" s="42" t="s">
        <v>104</v>
      </c>
      <c r="E71" s="57"/>
      <c r="F71" s="55"/>
      <c r="G71" s="31"/>
      <c r="H71" s="31"/>
      <c r="I71" s="5"/>
      <c r="J71" s="5"/>
      <c r="K71" s="5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</row>
    <row r="72" spans="1:27" ht="29.25" customHeight="1">
      <c r="A72" s="43" t="s">
        <v>105</v>
      </c>
      <c r="B72" s="57"/>
      <c r="C72" s="55"/>
      <c r="D72" s="44" t="s">
        <v>106</v>
      </c>
      <c r="E72" s="57"/>
      <c r="F72" s="55"/>
      <c r="G72" s="31"/>
      <c r="H72" s="31"/>
      <c r="I72" s="5"/>
      <c r="J72" s="5"/>
      <c r="K72" s="5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</row>
    <row r="73" spans="1:27" ht="13.15">
      <c r="A73" s="44" t="s">
        <v>107</v>
      </c>
      <c r="B73" s="57"/>
      <c r="C73" s="55"/>
      <c r="D73" s="44" t="s">
        <v>108</v>
      </c>
      <c r="E73" s="57"/>
      <c r="F73" s="55"/>
      <c r="G73" s="31"/>
      <c r="H73" s="31"/>
      <c r="I73" s="5"/>
      <c r="J73" s="5"/>
      <c r="K73" s="5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</row>
    <row r="74" spans="1:27" ht="13.15">
      <c r="A74" s="44" t="s">
        <v>109</v>
      </c>
      <c r="B74" s="57"/>
      <c r="C74" s="55"/>
      <c r="D74" s="44" t="s">
        <v>110</v>
      </c>
      <c r="E74" s="57"/>
      <c r="F74" s="55"/>
      <c r="G74" s="31"/>
      <c r="H74" s="31"/>
      <c r="I74" s="5"/>
      <c r="J74" s="5"/>
      <c r="K74" s="5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</row>
    <row r="75" spans="1:27" ht="13.15">
      <c r="A75" s="44" t="s">
        <v>111</v>
      </c>
      <c r="B75" s="57"/>
      <c r="C75" s="55"/>
      <c r="D75" s="44" t="s">
        <v>112</v>
      </c>
      <c r="E75" s="57"/>
      <c r="F75" s="55"/>
      <c r="G75" s="31"/>
      <c r="H75" s="31"/>
      <c r="I75" s="5"/>
      <c r="J75" s="5"/>
      <c r="K75" s="5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</row>
    <row r="76" spans="1:27" ht="13.15">
      <c r="A76" s="31"/>
      <c r="B76" s="31"/>
      <c r="C76" s="31"/>
      <c r="D76" s="31"/>
      <c r="E76" s="31"/>
      <c r="F76" s="31"/>
      <c r="G76" s="31"/>
      <c r="H76" s="31"/>
      <c r="I76" s="5"/>
      <c r="J76" s="5"/>
      <c r="K76" s="5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</row>
    <row r="77" spans="1:27" ht="13.15">
      <c r="A77" s="31"/>
      <c r="B77" s="31"/>
      <c r="C77" s="31"/>
      <c r="D77" s="31"/>
      <c r="E77" s="31"/>
      <c r="F77" s="31"/>
      <c r="G77" s="31"/>
      <c r="H77" s="31"/>
      <c r="I77" s="5"/>
      <c r="J77" s="5"/>
      <c r="K77" s="5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</row>
    <row r="78" spans="1:27" ht="13.15">
      <c r="A78" s="12" t="s">
        <v>113</v>
      </c>
      <c r="B78" s="12"/>
      <c r="C78" s="12"/>
      <c r="D78" s="12"/>
      <c r="E78" s="12"/>
      <c r="F78" s="12"/>
      <c r="G78" s="12"/>
      <c r="H78" s="12"/>
      <c r="I78" s="2"/>
      <c r="J78" s="2"/>
      <c r="K78" s="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</row>
    <row r="79" spans="1:27" ht="18" customHeight="1">
      <c r="A79" s="13" t="s">
        <v>114</v>
      </c>
      <c r="B79" s="31"/>
      <c r="C79" s="31"/>
      <c r="D79" s="31"/>
      <c r="E79" s="31"/>
      <c r="F79" s="31"/>
      <c r="G79" s="31"/>
      <c r="H79" s="31"/>
      <c r="I79" s="5"/>
      <c r="J79" s="5"/>
      <c r="K79" s="5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</row>
    <row r="80" spans="1:27" ht="13.15">
      <c r="A80" s="13" t="s">
        <v>115</v>
      </c>
      <c r="B80" s="31"/>
      <c r="C80" s="31"/>
      <c r="D80" s="31"/>
      <c r="E80" s="31"/>
      <c r="F80" s="31"/>
      <c r="G80" s="31"/>
      <c r="H80" s="31"/>
      <c r="I80" s="5"/>
      <c r="J80" s="5"/>
      <c r="K80" s="5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</row>
    <row r="81" spans="1:27" ht="13.15">
      <c r="A81" s="31"/>
      <c r="B81" s="31"/>
      <c r="C81" s="31"/>
      <c r="D81" s="31"/>
      <c r="E81" s="31"/>
      <c r="F81" s="31"/>
      <c r="G81" s="31"/>
      <c r="H81" s="31"/>
      <c r="I81" s="5"/>
      <c r="J81" s="5"/>
      <c r="K81" s="5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</row>
    <row r="82" spans="1:27" ht="13.15">
      <c r="A82" s="31"/>
      <c r="B82" s="31"/>
      <c r="C82" s="31"/>
      <c r="D82" s="31"/>
      <c r="E82" s="31"/>
      <c r="F82" s="31"/>
      <c r="G82" s="31"/>
      <c r="H82" s="31"/>
      <c r="I82" s="5"/>
      <c r="J82" s="5"/>
      <c r="K82" s="5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</row>
    <row r="83" spans="1:27" ht="13.15">
      <c r="A83" s="12" t="s">
        <v>116</v>
      </c>
      <c r="B83" s="12"/>
      <c r="C83" s="12"/>
      <c r="D83" s="12"/>
      <c r="E83" s="12"/>
      <c r="F83" s="12"/>
      <c r="G83" s="12"/>
      <c r="H83" s="12"/>
      <c r="I83" s="2"/>
      <c r="J83" s="2"/>
      <c r="K83" s="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</row>
    <row r="84" spans="1:27" ht="13.15">
      <c r="A84" s="13" t="s">
        <v>117</v>
      </c>
      <c r="B84" s="31"/>
      <c r="C84" s="31"/>
      <c r="D84" s="31"/>
      <c r="E84" s="31"/>
      <c r="F84" s="31"/>
      <c r="G84" s="31"/>
      <c r="H84" s="31"/>
      <c r="I84" s="5"/>
      <c r="J84" s="5"/>
      <c r="K84" s="5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</row>
    <row r="85" spans="1:27" ht="13.15">
      <c r="A85" s="13" t="s">
        <v>118</v>
      </c>
      <c r="B85" s="31"/>
      <c r="C85" s="31"/>
      <c r="D85" s="31"/>
      <c r="E85" s="31"/>
      <c r="F85" s="31"/>
      <c r="G85" s="31"/>
      <c r="H85" s="31"/>
      <c r="I85" s="5"/>
      <c r="J85" s="5"/>
      <c r="K85" s="5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</row>
    <row r="86" spans="1:27" ht="13.15">
      <c r="A86" s="13" t="s">
        <v>119</v>
      </c>
      <c r="B86" s="31"/>
      <c r="C86" s="31"/>
      <c r="D86" s="31"/>
      <c r="E86" s="31"/>
      <c r="F86" s="31"/>
      <c r="G86" s="31"/>
      <c r="H86" s="31"/>
      <c r="I86" s="5"/>
      <c r="J86" s="5"/>
      <c r="K86" s="5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</row>
    <row r="87" spans="1:27" ht="13.15">
      <c r="A87" s="13" t="s">
        <v>120</v>
      </c>
      <c r="B87" s="31"/>
      <c r="C87" s="31"/>
      <c r="D87" s="31"/>
      <c r="E87" s="31"/>
      <c r="F87" s="31"/>
      <c r="G87" s="31"/>
      <c r="H87" s="31"/>
      <c r="I87" s="5"/>
      <c r="J87" s="5"/>
      <c r="K87" s="5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</row>
    <row r="88" spans="1:27" ht="13.15">
      <c r="A88" s="31"/>
      <c r="B88" s="31"/>
      <c r="C88" s="31"/>
      <c r="D88" s="31"/>
      <c r="E88" s="31"/>
      <c r="F88" s="31"/>
      <c r="G88" s="31"/>
      <c r="H88" s="31"/>
      <c r="I88" s="5"/>
      <c r="J88" s="5"/>
      <c r="K88" s="5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</row>
    <row r="89" spans="1:27" ht="13.15">
      <c r="A89" s="31"/>
      <c r="B89" s="31"/>
      <c r="C89" s="31"/>
      <c r="D89" s="31"/>
      <c r="E89" s="31"/>
      <c r="F89" s="31"/>
      <c r="G89" s="31"/>
      <c r="H89" s="31"/>
      <c r="I89" s="5"/>
      <c r="J89" s="5"/>
      <c r="K89" s="5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</row>
    <row r="90" spans="1:27" ht="13.15">
      <c r="A90" s="31"/>
      <c r="B90" s="31"/>
      <c r="C90" s="31"/>
      <c r="D90" s="31"/>
      <c r="E90" s="31"/>
      <c r="F90" s="31"/>
      <c r="G90" s="31"/>
      <c r="H90" s="31"/>
      <c r="I90" s="5"/>
      <c r="J90" s="5"/>
      <c r="K90" s="5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</row>
    <row r="91" spans="1:27" ht="13.15">
      <c r="A91" s="31"/>
      <c r="B91" s="31"/>
      <c r="C91" s="31"/>
      <c r="D91" s="31"/>
      <c r="E91" s="31"/>
      <c r="F91" s="31"/>
      <c r="G91" s="31"/>
      <c r="H91" s="31"/>
      <c r="I91" s="5"/>
      <c r="J91" s="5"/>
      <c r="K91" s="5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</row>
    <row r="92" spans="1:27" ht="13.15">
      <c r="A92" s="31"/>
      <c r="B92" s="31"/>
      <c r="C92" s="31"/>
      <c r="D92" s="31"/>
      <c r="E92" s="31"/>
      <c r="F92" s="31"/>
      <c r="G92" s="31"/>
      <c r="H92" s="31"/>
      <c r="I92" s="5"/>
      <c r="J92" s="5"/>
      <c r="K92" s="5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</row>
    <row r="93" spans="1:27" ht="13.15">
      <c r="A93" s="31"/>
      <c r="B93" s="31"/>
      <c r="C93" s="31"/>
      <c r="D93" s="31"/>
      <c r="E93" s="31"/>
      <c r="F93" s="31"/>
      <c r="G93" s="31"/>
      <c r="H93" s="31"/>
      <c r="I93" s="5"/>
      <c r="J93" s="5"/>
      <c r="K93" s="5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</row>
    <row r="94" spans="1:27" ht="13.15">
      <c r="A94" s="31"/>
      <c r="B94" s="31"/>
      <c r="C94" s="31"/>
      <c r="D94" s="31"/>
      <c r="E94" s="31"/>
      <c r="F94" s="31"/>
      <c r="G94" s="31"/>
      <c r="H94" s="31"/>
      <c r="I94" s="5"/>
      <c r="J94" s="5"/>
      <c r="K94" s="5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</row>
    <row r="95" spans="1:27" ht="13.15">
      <c r="A95" s="31"/>
      <c r="B95" s="31"/>
      <c r="C95" s="31"/>
      <c r="D95" s="31"/>
      <c r="E95" s="31"/>
      <c r="F95" s="31"/>
      <c r="G95" s="31"/>
      <c r="H95" s="31"/>
      <c r="I95" s="5"/>
      <c r="J95" s="5"/>
      <c r="K95" s="5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</row>
    <row r="96" spans="1:27" ht="13.15">
      <c r="A96" s="31"/>
      <c r="B96" s="31"/>
      <c r="C96" s="31"/>
      <c r="D96" s="31"/>
      <c r="E96" s="31"/>
      <c r="F96" s="31"/>
      <c r="G96" s="31"/>
      <c r="H96" s="31"/>
      <c r="I96" s="5"/>
      <c r="J96" s="5"/>
      <c r="K96" s="5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</row>
    <row r="97" spans="9:11" ht="13.15">
      <c r="I97" s="5"/>
      <c r="J97" s="5"/>
      <c r="K97" s="5"/>
    </row>
    <row r="98" spans="9:11" ht="13.15">
      <c r="I98" s="5"/>
      <c r="J98" s="5"/>
      <c r="K98" s="5"/>
    </row>
    <row r="99" spans="9:11" ht="13.15">
      <c r="I99" s="5"/>
      <c r="J99" s="5"/>
      <c r="K99" s="5"/>
    </row>
    <row r="100" spans="9:11" ht="13.15">
      <c r="I100" s="5"/>
      <c r="J100" s="5"/>
      <c r="K100" s="5"/>
    </row>
    <row r="101" spans="9:11" ht="13.15">
      <c r="I101" s="5"/>
      <c r="J101" s="5"/>
      <c r="K101" s="5"/>
    </row>
    <row r="102" spans="9:11" ht="13.15">
      <c r="I102" s="5"/>
      <c r="J102" s="5"/>
      <c r="K102" s="5"/>
    </row>
    <row r="103" spans="9:11" ht="13.15">
      <c r="I103" s="5"/>
      <c r="J103" s="5"/>
      <c r="K103" s="5"/>
    </row>
    <row r="104" spans="9:11" ht="13.15">
      <c r="I104" s="5"/>
      <c r="J104" s="5"/>
      <c r="K104" s="5"/>
    </row>
    <row r="105" spans="9:11" ht="13.15">
      <c r="I105" s="5"/>
      <c r="J105" s="5"/>
      <c r="K105" s="5"/>
    </row>
    <row r="106" spans="9:11" ht="13.15">
      <c r="I106" s="5"/>
      <c r="J106" s="5"/>
      <c r="K106" s="5"/>
    </row>
    <row r="107" spans="9:11" ht="13.15">
      <c r="I107" s="5"/>
      <c r="J107" s="5"/>
      <c r="K107" s="5"/>
    </row>
    <row r="108" spans="9:11" ht="13.15">
      <c r="I108" s="5"/>
      <c r="J108" s="5"/>
      <c r="K108" s="5"/>
    </row>
    <row r="109" spans="9:11" ht="13.15">
      <c r="I109" s="5"/>
      <c r="J109" s="5"/>
      <c r="K109" s="5"/>
    </row>
    <row r="110" spans="9:11" ht="13.15">
      <c r="I110" s="5"/>
      <c r="J110" s="5"/>
      <c r="K110" s="5"/>
    </row>
    <row r="111" spans="9:11" ht="13.15">
      <c r="I111" s="5"/>
      <c r="J111" s="5"/>
      <c r="K111" s="5"/>
    </row>
    <row r="112" spans="9:11" ht="13.15">
      <c r="I112" s="5"/>
      <c r="J112" s="5"/>
      <c r="K112" s="5"/>
    </row>
    <row r="113" spans="9:11" ht="13.15">
      <c r="I113" s="5"/>
      <c r="J113" s="5"/>
      <c r="K113" s="5"/>
    </row>
    <row r="114" spans="9:11" ht="13.15">
      <c r="I114" s="5"/>
      <c r="J114" s="5"/>
      <c r="K114" s="5"/>
    </row>
    <row r="115" spans="9:11" ht="13.15">
      <c r="I115" s="5"/>
      <c r="J115" s="5"/>
      <c r="K115" s="5"/>
    </row>
    <row r="116" spans="9:11" ht="13.15">
      <c r="I116" s="5"/>
      <c r="J116" s="5"/>
      <c r="K116" s="5"/>
    </row>
    <row r="117" spans="9:11" ht="13.15">
      <c r="I117" s="5"/>
      <c r="J117" s="5"/>
      <c r="K117" s="5"/>
    </row>
    <row r="118" spans="9:11" ht="13.15">
      <c r="I118" s="5"/>
      <c r="J118" s="5"/>
      <c r="K118" s="5"/>
    </row>
    <row r="119" spans="9:11" ht="13.15">
      <c r="I119" s="5"/>
      <c r="J119" s="5"/>
      <c r="K119" s="5"/>
    </row>
    <row r="120" spans="9:11" ht="13.15">
      <c r="I120" s="5"/>
      <c r="J120" s="5"/>
      <c r="K120" s="5"/>
    </row>
    <row r="121" spans="9:11" ht="13.15">
      <c r="I121" s="5"/>
      <c r="J121" s="5"/>
      <c r="K121" s="5"/>
    </row>
    <row r="122" spans="9:11" ht="13.15">
      <c r="I122" s="5"/>
      <c r="J122" s="5"/>
      <c r="K122" s="5"/>
    </row>
    <row r="123" spans="9:11" ht="13.15">
      <c r="I123" s="5"/>
      <c r="J123" s="5"/>
      <c r="K123" s="5"/>
    </row>
    <row r="124" spans="9:11" ht="13.15">
      <c r="I124" s="5"/>
      <c r="J124" s="5"/>
      <c r="K124" s="5"/>
    </row>
    <row r="125" spans="9:11" ht="13.15">
      <c r="I125" s="5"/>
      <c r="J125" s="5"/>
      <c r="K125" s="5"/>
    </row>
    <row r="126" spans="9:11" ht="13.15">
      <c r="I126" s="5"/>
      <c r="J126" s="5"/>
      <c r="K126" s="5"/>
    </row>
    <row r="127" spans="9:11" ht="13.15">
      <c r="I127" s="5"/>
      <c r="J127" s="5"/>
      <c r="K127" s="5"/>
    </row>
    <row r="128" spans="9:11" ht="13.15">
      <c r="I128" s="5"/>
      <c r="J128" s="5"/>
      <c r="K128" s="5"/>
    </row>
    <row r="129" spans="9:11" ht="13.15">
      <c r="I129" s="5"/>
      <c r="J129" s="5"/>
      <c r="K129" s="5"/>
    </row>
    <row r="130" spans="9:11" ht="13.15">
      <c r="I130" s="5"/>
      <c r="J130" s="5"/>
      <c r="K130" s="5"/>
    </row>
    <row r="131" spans="9:11" ht="13.15">
      <c r="I131" s="5"/>
      <c r="J131" s="5"/>
      <c r="K131" s="5"/>
    </row>
    <row r="132" spans="9:11" ht="13.15">
      <c r="I132" s="5"/>
      <c r="J132" s="5"/>
      <c r="K132" s="5"/>
    </row>
    <row r="133" spans="9:11" ht="13.15">
      <c r="I133" s="5"/>
      <c r="J133" s="5"/>
      <c r="K133" s="5"/>
    </row>
    <row r="134" spans="9:11" ht="13.15">
      <c r="I134" s="5"/>
      <c r="J134" s="5"/>
      <c r="K134" s="5"/>
    </row>
    <row r="135" spans="9:11" ht="13.15">
      <c r="I135" s="5"/>
      <c r="J135" s="5"/>
      <c r="K135" s="5"/>
    </row>
    <row r="136" spans="9:11" ht="13.15">
      <c r="I136" s="5"/>
      <c r="J136" s="5"/>
      <c r="K136" s="5"/>
    </row>
    <row r="137" spans="9:11" ht="13.15">
      <c r="I137" s="5"/>
      <c r="J137" s="5"/>
      <c r="K137" s="5"/>
    </row>
    <row r="138" spans="9:11" ht="13.15">
      <c r="I138" s="5"/>
      <c r="J138" s="5"/>
      <c r="K138" s="5"/>
    </row>
    <row r="139" spans="9:11" ht="13.15">
      <c r="I139" s="5"/>
      <c r="J139" s="5"/>
      <c r="K139" s="5"/>
    </row>
    <row r="140" spans="9:11" ht="13.15">
      <c r="I140" s="5"/>
      <c r="J140" s="5"/>
      <c r="K140" s="5"/>
    </row>
    <row r="141" spans="9:11" ht="13.15">
      <c r="I141" s="5"/>
      <c r="J141" s="5"/>
      <c r="K141" s="5"/>
    </row>
    <row r="142" spans="9:11" ht="13.15">
      <c r="I142" s="5"/>
      <c r="J142" s="5"/>
      <c r="K142" s="5"/>
    </row>
    <row r="143" spans="9:11" ht="13.15">
      <c r="I143" s="5"/>
      <c r="J143" s="5"/>
      <c r="K143" s="5"/>
    </row>
    <row r="144" spans="9:11" ht="13.15">
      <c r="I144" s="5"/>
      <c r="J144" s="5"/>
      <c r="K144" s="5"/>
    </row>
    <row r="145" spans="9:11" ht="13.15">
      <c r="I145" s="5"/>
      <c r="J145" s="5"/>
      <c r="K145" s="5"/>
    </row>
    <row r="146" spans="9:11" ht="13.15">
      <c r="I146" s="5"/>
      <c r="J146" s="5"/>
      <c r="K146" s="5"/>
    </row>
    <row r="147" spans="9:11" ht="13.15">
      <c r="I147" s="5"/>
      <c r="J147" s="5"/>
      <c r="K147" s="5"/>
    </row>
    <row r="148" spans="9:11" ht="13.15">
      <c r="I148" s="5"/>
      <c r="J148" s="5"/>
      <c r="K148" s="5"/>
    </row>
    <row r="149" spans="9:11" ht="13.15">
      <c r="I149" s="5"/>
      <c r="J149" s="5"/>
      <c r="K149" s="5"/>
    </row>
    <row r="150" spans="9:11" ht="13.15">
      <c r="I150" s="5"/>
      <c r="J150" s="5"/>
      <c r="K150" s="5"/>
    </row>
    <row r="151" spans="9:11" ht="13.15">
      <c r="I151" s="5"/>
      <c r="J151" s="5"/>
      <c r="K151" s="5"/>
    </row>
    <row r="152" spans="9:11" ht="13.15">
      <c r="I152" s="5"/>
      <c r="J152" s="5"/>
      <c r="K152" s="5"/>
    </row>
    <row r="153" spans="9:11" ht="13.15">
      <c r="I153" s="5"/>
      <c r="J153" s="5"/>
      <c r="K153" s="5"/>
    </row>
    <row r="154" spans="9:11" ht="13.15">
      <c r="I154" s="5"/>
      <c r="J154" s="5"/>
      <c r="K154" s="5"/>
    </row>
    <row r="155" spans="9:11" ht="13.15">
      <c r="I155" s="5"/>
      <c r="J155" s="5"/>
      <c r="K155" s="5"/>
    </row>
    <row r="156" spans="9:11" ht="13.15">
      <c r="I156" s="5"/>
      <c r="J156" s="5"/>
      <c r="K156" s="5"/>
    </row>
    <row r="157" spans="9:11" ht="13.15">
      <c r="I157" s="5"/>
      <c r="J157" s="5"/>
      <c r="K157" s="5"/>
    </row>
    <row r="158" spans="9:11" ht="13.15">
      <c r="I158" s="5"/>
      <c r="J158" s="5"/>
      <c r="K158" s="5"/>
    </row>
    <row r="159" spans="9:11" ht="13.15">
      <c r="I159" s="5"/>
      <c r="J159" s="5"/>
      <c r="K159" s="5"/>
    </row>
    <row r="160" spans="9:11" ht="13.15">
      <c r="I160" s="5"/>
      <c r="J160" s="5"/>
      <c r="K160" s="5"/>
    </row>
    <row r="161" spans="9:11" ht="13.15">
      <c r="I161" s="5"/>
      <c r="J161" s="5"/>
      <c r="K161" s="5"/>
    </row>
    <row r="162" spans="9:11" ht="13.15">
      <c r="I162" s="5"/>
      <c r="J162" s="5"/>
      <c r="K162" s="5"/>
    </row>
    <row r="163" spans="9:11" ht="13.15">
      <c r="I163" s="5"/>
      <c r="J163" s="5"/>
      <c r="K163" s="5"/>
    </row>
    <row r="164" spans="9:11" ht="13.15">
      <c r="I164" s="5"/>
      <c r="J164" s="5"/>
      <c r="K164" s="5"/>
    </row>
    <row r="165" spans="9:11" ht="13.15">
      <c r="I165" s="5"/>
      <c r="J165" s="5"/>
      <c r="K165" s="5"/>
    </row>
    <row r="166" spans="9:11" ht="13.15">
      <c r="I166" s="5"/>
      <c r="J166" s="5"/>
      <c r="K166" s="5"/>
    </row>
    <row r="167" spans="9:11" ht="13.15">
      <c r="I167" s="5"/>
      <c r="J167" s="5"/>
      <c r="K167" s="5"/>
    </row>
    <row r="168" spans="9:11" ht="13.15">
      <c r="I168" s="5"/>
      <c r="J168" s="5"/>
      <c r="K168" s="5"/>
    </row>
    <row r="169" spans="9:11" ht="13.15">
      <c r="I169" s="5"/>
      <c r="J169" s="5"/>
      <c r="K169" s="5"/>
    </row>
    <row r="170" spans="9:11" ht="13.15">
      <c r="I170" s="5"/>
      <c r="J170" s="5"/>
      <c r="K170" s="5"/>
    </row>
    <row r="171" spans="9:11" ht="13.15">
      <c r="I171" s="5"/>
      <c r="J171" s="5"/>
      <c r="K171" s="5"/>
    </row>
    <row r="172" spans="9:11" ht="13.15">
      <c r="I172" s="5"/>
      <c r="J172" s="5"/>
      <c r="K172" s="5"/>
    </row>
    <row r="173" spans="9:11" ht="13.15">
      <c r="I173" s="5"/>
      <c r="J173" s="5"/>
      <c r="K173" s="5"/>
    </row>
    <row r="174" spans="9:11" ht="13.15">
      <c r="I174" s="5"/>
      <c r="J174" s="5"/>
      <c r="K174" s="5"/>
    </row>
    <row r="175" spans="9:11" ht="13.15">
      <c r="I175" s="5"/>
      <c r="J175" s="5"/>
      <c r="K175" s="5"/>
    </row>
    <row r="176" spans="9:11" ht="13.15">
      <c r="I176" s="5"/>
      <c r="J176" s="5"/>
      <c r="K176" s="5"/>
    </row>
    <row r="177" spans="9:11" ht="13.15">
      <c r="I177" s="5"/>
      <c r="J177" s="5"/>
      <c r="K177" s="5"/>
    </row>
    <row r="178" spans="9:11" ht="13.15">
      <c r="I178" s="5"/>
      <c r="J178" s="5"/>
      <c r="K178" s="5"/>
    </row>
    <row r="179" spans="9:11" ht="13.15">
      <c r="I179" s="5"/>
      <c r="J179" s="5"/>
      <c r="K179" s="5"/>
    </row>
    <row r="180" spans="9:11" ht="13.15">
      <c r="I180" s="5"/>
      <c r="J180" s="5"/>
      <c r="K180" s="5"/>
    </row>
    <row r="181" spans="9:11" ht="13.15">
      <c r="I181" s="5"/>
      <c r="J181" s="5"/>
      <c r="K181" s="5"/>
    </row>
    <row r="182" spans="9:11" ht="13.15">
      <c r="I182" s="5"/>
      <c r="J182" s="5"/>
      <c r="K182" s="5"/>
    </row>
    <row r="183" spans="9:11" ht="13.15">
      <c r="I183" s="5"/>
      <c r="J183" s="5"/>
      <c r="K183" s="5"/>
    </row>
    <row r="184" spans="9:11" ht="13.15">
      <c r="I184" s="5"/>
      <c r="J184" s="5"/>
      <c r="K184" s="5"/>
    </row>
    <row r="185" spans="9:11" ht="13.15">
      <c r="I185" s="5"/>
      <c r="J185" s="5"/>
      <c r="K185" s="5"/>
    </row>
    <row r="186" spans="9:11" ht="13.15">
      <c r="I186" s="5"/>
      <c r="J186" s="5"/>
      <c r="K186" s="5"/>
    </row>
    <row r="187" spans="9:11" ht="13.15">
      <c r="I187" s="5"/>
      <c r="J187" s="5"/>
      <c r="K187" s="5"/>
    </row>
    <row r="188" spans="9:11" ht="13.15">
      <c r="I188" s="5"/>
      <c r="J188" s="5"/>
      <c r="K188" s="5"/>
    </row>
    <row r="189" spans="9:11" ht="13.15">
      <c r="I189" s="5"/>
      <c r="J189" s="5"/>
      <c r="K189" s="5"/>
    </row>
    <row r="190" spans="9:11" ht="13.15">
      <c r="I190" s="5"/>
      <c r="J190" s="5"/>
      <c r="K190" s="5"/>
    </row>
    <row r="191" spans="9:11" ht="13.15">
      <c r="I191" s="5"/>
      <c r="J191" s="5"/>
      <c r="K191" s="5"/>
    </row>
    <row r="192" spans="9:11" ht="13.15">
      <c r="I192" s="5"/>
      <c r="J192" s="5"/>
      <c r="K192" s="5"/>
    </row>
    <row r="193" spans="9:11" ht="13.15">
      <c r="I193" s="5"/>
      <c r="J193" s="5"/>
      <c r="K193" s="5"/>
    </row>
    <row r="194" spans="9:11" ht="13.15">
      <c r="I194" s="5"/>
      <c r="J194" s="5"/>
      <c r="K194" s="5"/>
    </row>
    <row r="195" spans="9:11" ht="13.15">
      <c r="I195" s="5"/>
      <c r="J195" s="5"/>
      <c r="K195" s="5"/>
    </row>
    <row r="196" spans="9:11" ht="13.15">
      <c r="I196" s="5"/>
      <c r="J196" s="5"/>
      <c r="K196" s="5"/>
    </row>
    <row r="197" spans="9:11" ht="13.15">
      <c r="I197" s="5"/>
      <c r="J197" s="5"/>
      <c r="K197" s="5"/>
    </row>
    <row r="198" spans="9:11" ht="13.15">
      <c r="I198" s="5"/>
      <c r="J198" s="5"/>
      <c r="K198" s="5"/>
    </row>
    <row r="199" spans="9:11" ht="13.15">
      <c r="I199" s="5"/>
      <c r="J199" s="5"/>
      <c r="K199" s="5"/>
    </row>
    <row r="200" spans="9:11" ht="13.15">
      <c r="I200" s="5"/>
      <c r="J200" s="5"/>
      <c r="K200" s="5"/>
    </row>
    <row r="201" spans="9:11" ht="13.15">
      <c r="I201" s="5"/>
      <c r="J201" s="5"/>
      <c r="K201" s="5"/>
    </row>
    <row r="202" spans="9:11" ht="13.15">
      <c r="I202" s="5"/>
      <c r="J202" s="5"/>
      <c r="K202" s="5"/>
    </row>
    <row r="203" spans="9:11" ht="13.15">
      <c r="I203" s="5"/>
      <c r="J203" s="5"/>
      <c r="K203" s="5"/>
    </row>
    <row r="204" spans="9:11" ht="13.15">
      <c r="I204" s="5"/>
      <c r="J204" s="5"/>
      <c r="K204" s="5"/>
    </row>
    <row r="205" spans="9:11" ht="13.15">
      <c r="I205" s="5"/>
      <c r="J205" s="5"/>
      <c r="K205" s="5"/>
    </row>
    <row r="206" spans="9:11" ht="13.15">
      <c r="I206" s="5"/>
      <c r="J206" s="5"/>
      <c r="K206" s="5"/>
    </row>
    <row r="207" spans="9:11" ht="13.15">
      <c r="I207" s="5"/>
      <c r="J207" s="5"/>
      <c r="K207" s="5"/>
    </row>
    <row r="208" spans="9:11" ht="13.15">
      <c r="I208" s="5"/>
      <c r="J208" s="5"/>
      <c r="K208" s="5"/>
    </row>
    <row r="209" spans="9:11" ht="13.15">
      <c r="I209" s="5"/>
      <c r="J209" s="5"/>
      <c r="K209" s="5"/>
    </row>
    <row r="210" spans="9:11" ht="13.15">
      <c r="I210" s="5"/>
      <c r="J210" s="5"/>
      <c r="K210" s="5"/>
    </row>
    <row r="211" spans="9:11" ht="13.15">
      <c r="I211" s="5"/>
      <c r="J211" s="5"/>
      <c r="K211" s="5"/>
    </row>
    <row r="212" spans="9:11" ht="13.15">
      <c r="I212" s="5"/>
      <c r="J212" s="5"/>
      <c r="K212" s="5"/>
    </row>
    <row r="213" spans="9:11" ht="13.15">
      <c r="I213" s="5"/>
      <c r="J213" s="5"/>
      <c r="K213" s="5"/>
    </row>
    <row r="214" spans="9:11" ht="13.15">
      <c r="I214" s="5"/>
      <c r="J214" s="5"/>
      <c r="K214" s="5"/>
    </row>
    <row r="215" spans="9:11" ht="13.15">
      <c r="I215" s="5"/>
      <c r="J215" s="5"/>
      <c r="K215" s="5"/>
    </row>
    <row r="216" spans="9:11" ht="13.15">
      <c r="I216" s="5"/>
      <c r="J216" s="5"/>
      <c r="K216" s="5"/>
    </row>
    <row r="217" spans="9:11" ht="13.15">
      <c r="I217" s="5"/>
      <c r="J217" s="5"/>
      <c r="K217" s="5"/>
    </row>
    <row r="218" spans="9:11" ht="13.15">
      <c r="I218" s="5"/>
      <c r="J218" s="5"/>
      <c r="K218" s="5"/>
    </row>
    <row r="219" spans="9:11" ht="13.15">
      <c r="I219" s="5"/>
      <c r="J219" s="5"/>
      <c r="K219" s="5"/>
    </row>
    <row r="220" spans="9:11" ht="13.15">
      <c r="I220" s="5"/>
      <c r="J220" s="5"/>
      <c r="K220" s="5"/>
    </row>
    <row r="221" spans="9:11" ht="13.15">
      <c r="I221" s="5"/>
      <c r="J221" s="5"/>
      <c r="K221" s="5"/>
    </row>
    <row r="222" spans="9:11" ht="13.15">
      <c r="I222" s="5"/>
      <c r="J222" s="5"/>
      <c r="K222" s="5"/>
    </row>
    <row r="223" spans="9:11" ht="13.15">
      <c r="I223" s="5"/>
      <c r="J223" s="5"/>
      <c r="K223" s="5"/>
    </row>
    <row r="224" spans="9:11" ht="13.15">
      <c r="I224" s="5"/>
      <c r="J224" s="5"/>
      <c r="K224" s="5"/>
    </row>
    <row r="225" spans="9:11" ht="13.15">
      <c r="I225" s="5"/>
      <c r="J225" s="5"/>
      <c r="K225" s="5"/>
    </row>
    <row r="226" spans="9:11" ht="13.15">
      <c r="I226" s="5"/>
      <c r="J226" s="5"/>
      <c r="K226" s="5"/>
    </row>
    <row r="227" spans="9:11" ht="13.15">
      <c r="I227" s="5"/>
      <c r="J227" s="5"/>
      <c r="K227" s="5"/>
    </row>
    <row r="228" spans="9:11" ht="13.15">
      <c r="I228" s="5"/>
      <c r="J228" s="5"/>
      <c r="K228" s="5"/>
    </row>
    <row r="229" spans="9:11" ht="13.15">
      <c r="I229" s="5"/>
      <c r="J229" s="5"/>
      <c r="K229" s="5"/>
    </row>
    <row r="230" spans="9:11" ht="13.15">
      <c r="I230" s="5"/>
      <c r="J230" s="5"/>
      <c r="K230" s="5"/>
    </row>
    <row r="231" spans="9:11" ht="13.15">
      <c r="I231" s="5"/>
      <c r="J231" s="5"/>
      <c r="K231" s="5"/>
    </row>
    <row r="232" spans="9:11" ht="13.15">
      <c r="I232" s="5"/>
      <c r="J232" s="5"/>
      <c r="K232" s="5"/>
    </row>
    <row r="233" spans="9:11" ht="13.15">
      <c r="I233" s="5"/>
      <c r="J233" s="5"/>
      <c r="K233" s="5"/>
    </row>
    <row r="234" spans="9:11" ht="13.15">
      <c r="I234" s="5"/>
      <c r="J234" s="5"/>
      <c r="K234" s="5"/>
    </row>
    <row r="235" spans="9:11" ht="13.15">
      <c r="I235" s="5"/>
      <c r="J235" s="5"/>
      <c r="K235" s="5"/>
    </row>
    <row r="236" spans="9:11" ht="13.15">
      <c r="I236" s="5"/>
      <c r="J236" s="5"/>
      <c r="K236" s="5"/>
    </row>
    <row r="237" spans="9:11" ht="13.15">
      <c r="I237" s="5"/>
      <c r="J237" s="5"/>
      <c r="K237" s="5"/>
    </row>
    <row r="238" spans="9:11" ht="13.15">
      <c r="I238" s="5"/>
      <c r="J238" s="5"/>
      <c r="K238" s="5"/>
    </row>
    <row r="239" spans="9:11" ht="13.15">
      <c r="I239" s="5"/>
      <c r="J239" s="5"/>
      <c r="K239" s="5"/>
    </row>
    <row r="240" spans="9:11" ht="13.15">
      <c r="I240" s="5"/>
      <c r="J240" s="5"/>
      <c r="K240" s="5"/>
    </row>
    <row r="241" spans="9:11" ht="13.15">
      <c r="I241" s="5"/>
      <c r="J241" s="5"/>
      <c r="K241" s="5"/>
    </row>
    <row r="242" spans="9:11" ht="13.15">
      <c r="I242" s="5"/>
      <c r="J242" s="5"/>
      <c r="K242" s="5"/>
    </row>
    <row r="243" spans="9:11" ht="13.15">
      <c r="I243" s="5"/>
      <c r="J243" s="5"/>
      <c r="K243" s="5"/>
    </row>
    <row r="244" spans="9:11" ht="13.15">
      <c r="I244" s="5"/>
      <c r="J244" s="5"/>
      <c r="K244" s="5"/>
    </row>
    <row r="245" spans="9:11" ht="13.15">
      <c r="I245" s="5"/>
      <c r="J245" s="5"/>
      <c r="K245" s="5"/>
    </row>
    <row r="246" spans="9:11" ht="13.15">
      <c r="I246" s="5"/>
      <c r="J246" s="5"/>
      <c r="K246" s="5"/>
    </row>
    <row r="247" spans="9:11" ht="13.15">
      <c r="I247" s="5"/>
      <c r="J247" s="5"/>
      <c r="K247" s="5"/>
    </row>
    <row r="248" spans="9:11" ht="13.15">
      <c r="I248" s="5"/>
      <c r="J248" s="5"/>
      <c r="K248" s="5"/>
    </row>
    <row r="249" spans="9:11" ht="13.15">
      <c r="I249" s="5"/>
      <c r="J249" s="5"/>
      <c r="K249" s="5"/>
    </row>
    <row r="250" spans="9:11" ht="13.15">
      <c r="I250" s="5"/>
      <c r="J250" s="5"/>
      <c r="K250" s="5"/>
    </row>
    <row r="251" spans="9:11" ht="13.15">
      <c r="I251" s="5"/>
      <c r="J251" s="5"/>
      <c r="K251" s="5"/>
    </row>
    <row r="252" spans="9:11" ht="13.15">
      <c r="I252" s="5"/>
      <c r="J252" s="5"/>
      <c r="K252" s="5"/>
    </row>
    <row r="253" spans="9:11" ht="13.15">
      <c r="I253" s="5"/>
      <c r="J253" s="5"/>
      <c r="K253" s="5"/>
    </row>
    <row r="254" spans="9:11" ht="13.15">
      <c r="I254" s="5"/>
      <c r="J254" s="5"/>
      <c r="K254" s="5"/>
    </row>
    <row r="255" spans="9:11" ht="13.15">
      <c r="I255" s="5"/>
      <c r="J255" s="5"/>
      <c r="K255" s="5"/>
    </row>
    <row r="256" spans="9:11" ht="13.15">
      <c r="I256" s="5"/>
      <c r="J256" s="5"/>
      <c r="K256" s="5"/>
    </row>
    <row r="257" spans="9:11" ht="13.15">
      <c r="I257" s="5"/>
      <c r="J257" s="5"/>
      <c r="K257" s="5"/>
    </row>
    <row r="258" spans="9:11" ht="13.15">
      <c r="I258" s="5"/>
      <c r="J258" s="5"/>
      <c r="K258" s="5"/>
    </row>
    <row r="259" spans="9:11" ht="13.15">
      <c r="I259" s="5"/>
      <c r="J259" s="5"/>
      <c r="K259" s="5"/>
    </row>
    <row r="260" spans="9:11" ht="13.15">
      <c r="I260" s="5"/>
      <c r="J260" s="5"/>
      <c r="K260" s="5"/>
    </row>
    <row r="261" spans="9:11" ht="13.15">
      <c r="I261" s="5"/>
      <c r="J261" s="5"/>
      <c r="K261" s="5"/>
    </row>
    <row r="262" spans="9:11" ht="13.15">
      <c r="I262" s="5"/>
      <c r="J262" s="5"/>
      <c r="K262" s="5"/>
    </row>
    <row r="263" spans="9:11" ht="13.15">
      <c r="I263" s="5"/>
      <c r="J263" s="5"/>
      <c r="K263" s="5"/>
    </row>
    <row r="264" spans="9:11" ht="13.15">
      <c r="I264" s="5"/>
      <c r="J264" s="5"/>
      <c r="K264" s="5"/>
    </row>
    <row r="265" spans="9:11" ht="13.15">
      <c r="I265" s="5"/>
      <c r="J265" s="5"/>
      <c r="K265" s="5"/>
    </row>
    <row r="266" spans="9:11" ht="13.15">
      <c r="I266" s="5"/>
      <c r="J266" s="5"/>
      <c r="K266" s="5"/>
    </row>
    <row r="267" spans="9:11" ht="13.15">
      <c r="I267" s="5"/>
      <c r="J267" s="5"/>
      <c r="K267" s="5"/>
    </row>
    <row r="268" spans="9:11" ht="13.15">
      <c r="I268" s="5"/>
      <c r="J268" s="5"/>
      <c r="K268" s="5"/>
    </row>
    <row r="269" spans="9:11" ht="13.15">
      <c r="I269" s="5"/>
      <c r="J269" s="5"/>
      <c r="K269" s="5"/>
    </row>
    <row r="270" spans="9:11" ht="13.15">
      <c r="I270" s="5"/>
      <c r="J270" s="5"/>
      <c r="K270" s="5"/>
    </row>
    <row r="271" spans="9:11" ht="13.15">
      <c r="I271" s="5"/>
      <c r="J271" s="5"/>
      <c r="K271" s="5"/>
    </row>
    <row r="272" spans="9:11" ht="13.15">
      <c r="I272" s="5"/>
      <c r="J272" s="5"/>
      <c r="K272" s="5"/>
    </row>
    <row r="273" spans="9:11" ht="13.15">
      <c r="I273" s="5"/>
      <c r="J273" s="5"/>
      <c r="K273" s="5"/>
    </row>
    <row r="274" spans="9:11" ht="13.15">
      <c r="I274" s="5"/>
      <c r="J274" s="5"/>
      <c r="K274" s="5"/>
    </row>
    <row r="275" spans="9:11" ht="13.15">
      <c r="I275" s="5"/>
      <c r="J275" s="5"/>
      <c r="K275" s="5"/>
    </row>
    <row r="276" spans="9:11" ht="13.15">
      <c r="I276" s="5"/>
      <c r="J276" s="5"/>
      <c r="K276" s="5"/>
    </row>
    <row r="277" spans="9:11" ht="13.15">
      <c r="I277" s="5"/>
      <c r="J277" s="5"/>
      <c r="K277" s="5"/>
    </row>
    <row r="278" spans="9:11" ht="13.15">
      <c r="I278" s="5"/>
      <c r="J278" s="5"/>
      <c r="K278" s="5"/>
    </row>
    <row r="279" spans="9:11" ht="13.15">
      <c r="I279" s="5"/>
      <c r="J279" s="5"/>
      <c r="K279" s="5"/>
    </row>
    <row r="280" spans="9:11" ht="13.15">
      <c r="I280" s="5"/>
      <c r="J280" s="5"/>
      <c r="K280" s="5"/>
    </row>
    <row r="281" spans="9:11" ht="13.15">
      <c r="I281" s="5"/>
      <c r="J281" s="5"/>
      <c r="K281" s="5"/>
    </row>
    <row r="282" spans="9:11" ht="13.15">
      <c r="I282" s="5"/>
      <c r="J282" s="5"/>
      <c r="K282" s="5"/>
    </row>
    <row r="283" spans="9:11" ht="13.15">
      <c r="I283" s="5"/>
      <c r="J283" s="5"/>
      <c r="K283" s="5"/>
    </row>
    <row r="284" spans="9:11" ht="13.15">
      <c r="I284" s="5"/>
      <c r="J284" s="5"/>
      <c r="K284" s="5"/>
    </row>
    <row r="285" spans="9:11" ht="13.15">
      <c r="I285" s="5"/>
      <c r="J285" s="5"/>
      <c r="K285" s="5"/>
    </row>
    <row r="286" spans="9:11" ht="13.15">
      <c r="I286" s="5"/>
      <c r="J286" s="5"/>
      <c r="K286" s="5"/>
    </row>
    <row r="287" spans="9:11" ht="13.15">
      <c r="I287" s="5"/>
      <c r="J287" s="5"/>
      <c r="K287" s="5"/>
    </row>
    <row r="288" spans="9:11" ht="13.15">
      <c r="I288" s="5"/>
      <c r="J288" s="5"/>
      <c r="K288" s="5"/>
    </row>
    <row r="289" spans="9:11" ht="13.15">
      <c r="I289" s="5"/>
      <c r="J289" s="5"/>
      <c r="K289" s="5"/>
    </row>
    <row r="290" spans="9:11" ht="13.15">
      <c r="I290" s="5"/>
      <c r="J290" s="5"/>
      <c r="K290" s="5"/>
    </row>
    <row r="291" spans="9:11" ht="13.15">
      <c r="I291" s="5"/>
      <c r="J291" s="5"/>
      <c r="K291" s="5"/>
    </row>
    <row r="292" spans="9:11" ht="13.15">
      <c r="I292" s="5"/>
      <c r="J292" s="5"/>
      <c r="K292" s="5"/>
    </row>
    <row r="293" spans="9:11" ht="13.15">
      <c r="I293" s="5"/>
      <c r="J293" s="5"/>
      <c r="K293" s="5"/>
    </row>
    <row r="294" spans="9:11" ht="13.15">
      <c r="I294" s="5"/>
      <c r="J294" s="5"/>
      <c r="K294" s="5"/>
    </row>
    <row r="295" spans="9:11" ht="13.15">
      <c r="I295" s="5"/>
      <c r="J295" s="5"/>
      <c r="K295" s="5"/>
    </row>
    <row r="296" spans="9:11" ht="13.15">
      <c r="I296" s="5"/>
      <c r="J296" s="5"/>
      <c r="K296" s="5"/>
    </row>
    <row r="297" spans="9:11" ht="13.15">
      <c r="I297" s="5"/>
      <c r="J297" s="5"/>
      <c r="K297" s="5"/>
    </row>
    <row r="298" spans="9:11" ht="13.15">
      <c r="I298" s="5"/>
      <c r="J298" s="5"/>
      <c r="K298" s="5"/>
    </row>
    <row r="299" spans="9:11" ht="13.15">
      <c r="I299" s="5"/>
      <c r="J299" s="5"/>
      <c r="K299" s="5"/>
    </row>
    <row r="300" spans="9:11" ht="13.15">
      <c r="I300" s="5"/>
      <c r="J300" s="5"/>
      <c r="K300" s="5"/>
    </row>
    <row r="301" spans="9:11" ht="13.15">
      <c r="I301" s="5"/>
      <c r="J301" s="5"/>
      <c r="K301" s="5"/>
    </row>
    <row r="302" spans="9:11" ht="13.15">
      <c r="I302" s="5"/>
      <c r="J302" s="5"/>
      <c r="K302" s="5"/>
    </row>
    <row r="303" spans="9:11" ht="13.15">
      <c r="I303" s="5"/>
      <c r="J303" s="5"/>
      <c r="K303" s="5"/>
    </row>
    <row r="304" spans="9:11" ht="13.15">
      <c r="I304" s="5"/>
      <c r="J304" s="5"/>
      <c r="K304" s="5"/>
    </row>
    <row r="305" spans="9:11" ht="13.15">
      <c r="I305" s="5"/>
      <c r="J305" s="5"/>
      <c r="K305" s="5"/>
    </row>
    <row r="306" spans="9:11" ht="13.15">
      <c r="I306" s="5"/>
      <c r="J306" s="5"/>
      <c r="K306" s="5"/>
    </row>
    <row r="307" spans="9:11" ht="13.15">
      <c r="I307" s="5"/>
      <c r="J307" s="5"/>
      <c r="K307" s="5"/>
    </row>
    <row r="308" spans="9:11" ht="13.15">
      <c r="I308" s="5"/>
      <c r="J308" s="5"/>
      <c r="K308" s="5"/>
    </row>
    <row r="309" spans="9:11" ht="13.15">
      <c r="I309" s="5"/>
      <c r="J309" s="5"/>
      <c r="K309" s="5"/>
    </row>
    <row r="310" spans="9:11" ht="13.15">
      <c r="I310" s="5"/>
      <c r="J310" s="5"/>
      <c r="K310" s="5"/>
    </row>
    <row r="311" spans="9:11" ht="13.15">
      <c r="I311" s="5"/>
      <c r="J311" s="5"/>
      <c r="K311" s="5"/>
    </row>
    <row r="312" spans="9:11" ht="13.15">
      <c r="I312" s="5"/>
      <c r="J312" s="5"/>
      <c r="K312" s="5"/>
    </row>
    <row r="313" spans="9:11" ht="13.15">
      <c r="I313" s="5"/>
      <c r="J313" s="5"/>
      <c r="K313" s="5"/>
    </row>
    <row r="314" spans="9:11" ht="13.15">
      <c r="I314" s="5"/>
      <c r="J314" s="5"/>
      <c r="K314" s="5"/>
    </row>
    <row r="315" spans="9:11" ht="13.15">
      <c r="I315" s="5"/>
      <c r="J315" s="5"/>
      <c r="K315" s="5"/>
    </row>
    <row r="316" spans="9:11" ht="13.15">
      <c r="I316" s="5"/>
      <c r="J316" s="5"/>
      <c r="K316" s="5"/>
    </row>
    <row r="317" spans="9:11" ht="13.15">
      <c r="I317" s="5"/>
      <c r="J317" s="5"/>
      <c r="K317" s="5"/>
    </row>
    <row r="318" spans="9:11" ht="13.15">
      <c r="I318" s="5"/>
      <c r="J318" s="5"/>
      <c r="K318" s="5"/>
    </row>
    <row r="319" spans="9:11" ht="13.15">
      <c r="I319" s="5"/>
      <c r="J319" s="5"/>
      <c r="K319" s="5"/>
    </row>
    <row r="320" spans="9:11" ht="13.15">
      <c r="I320" s="5"/>
      <c r="J320" s="5"/>
      <c r="K320" s="5"/>
    </row>
    <row r="321" spans="9:11" ht="13.15">
      <c r="I321" s="5"/>
      <c r="J321" s="5"/>
      <c r="K321" s="5"/>
    </row>
    <row r="322" spans="9:11" ht="13.15">
      <c r="I322" s="5"/>
      <c r="J322" s="5"/>
      <c r="K322" s="5"/>
    </row>
    <row r="323" spans="9:11" ht="13.15">
      <c r="I323" s="5"/>
      <c r="J323" s="5"/>
      <c r="K323" s="5"/>
    </row>
    <row r="324" spans="9:11" ht="13.15">
      <c r="I324" s="5"/>
      <c r="J324" s="5"/>
      <c r="K324" s="5"/>
    </row>
    <row r="325" spans="9:11" ht="13.15">
      <c r="I325" s="5"/>
      <c r="J325" s="5"/>
      <c r="K325" s="5"/>
    </row>
    <row r="326" spans="9:11" ht="13.15">
      <c r="I326" s="5"/>
      <c r="J326" s="5"/>
      <c r="K326" s="5"/>
    </row>
    <row r="327" spans="9:11" ht="13.15">
      <c r="I327" s="5"/>
      <c r="J327" s="5"/>
      <c r="K327" s="5"/>
    </row>
    <row r="328" spans="9:11" ht="13.15">
      <c r="I328" s="5"/>
      <c r="J328" s="5"/>
      <c r="K328" s="5"/>
    </row>
    <row r="329" spans="9:11" ht="13.15">
      <c r="I329" s="5"/>
      <c r="J329" s="5"/>
      <c r="K329" s="5"/>
    </row>
    <row r="330" spans="9:11" ht="13.15">
      <c r="I330" s="5"/>
      <c r="J330" s="5"/>
      <c r="K330" s="5"/>
    </row>
    <row r="331" spans="9:11" ht="13.15">
      <c r="I331" s="5"/>
      <c r="J331" s="5"/>
      <c r="K331" s="5"/>
    </row>
    <row r="332" spans="9:11" ht="13.15">
      <c r="I332" s="5"/>
      <c r="J332" s="5"/>
      <c r="K332" s="5"/>
    </row>
    <row r="333" spans="9:11" ht="13.15">
      <c r="I333" s="5"/>
      <c r="J333" s="5"/>
      <c r="K333" s="5"/>
    </row>
    <row r="334" spans="9:11" ht="13.15">
      <c r="I334" s="5"/>
      <c r="J334" s="5"/>
      <c r="K334" s="5"/>
    </row>
    <row r="335" spans="9:11" ht="13.15">
      <c r="I335" s="5"/>
      <c r="J335" s="5"/>
      <c r="K335" s="5"/>
    </row>
    <row r="336" spans="9:11" ht="13.15">
      <c r="I336" s="5"/>
      <c r="J336" s="5"/>
      <c r="K336" s="5"/>
    </row>
    <row r="337" spans="9:11" ht="13.15">
      <c r="I337" s="5"/>
      <c r="J337" s="5"/>
      <c r="K337" s="5"/>
    </row>
    <row r="338" spans="9:11" ht="13.15">
      <c r="I338" s="5"/>
      <c r="J338" s="5"/>
      <c r="K338" s="5"/>
    </row>
    <row r="339" spans="9:11" ht="13.15">
      <c r="I339" s="5"/>
      <c r="J339" s="5"/>
      <c r="K339" s="5"/>
    </row>
    <row r="340" spans="9:11" ht="13.15">
      <c r="I340" s="5"/>
      <c r="J340" s="5"/>
      <c r="K340" s="5"/>
    </row>
    <row r="341" spans="9:11" ht="13.15">
      <c r="I341" s="5"/>
      <c r="J341" s="5"/>
      <c r="K341" s="5"/>
    </row>
    <row r="342" spans="9:11" ht="13.15">
      <c r="I342" s="5"/>
      <c r="J342" s="5"/>
      <c r="K342" s="5"/>
    </row>
    <row r="343" spans="9:11" ht="13.15">
      <c r="I343" s="5"/>
      <c r="J343" s="5"/>
      <c r="K343" s="5"/>
    </row>
    <row r="344" spans="9:11" ht="13.15">
      <c r="I344" s="5"/>
      <c r="J344" s="5"/>
      <c r="K344" s="5"/>
    </row>
    <row r="345" spans="9:11" ht="13.15">
      <c r="I345" s="5"/>
      <c r="J345" s="5"/>
      <c r="K345" s="5"/>
    </row>
    <row r="346" spans="9:11" ht="13.15">
      <c r="I346" s="5"/>
      <c r="J346" s="5"/>
      <c r="K346" s="5"/>
    </row>
    <row r="347" spans="9:11" ht="13.15">
      <c r="I347" s="5"/>
      <c r="J347" s="5"/>
      <c r="K347" s="5"/>
    </row>
    <row r="348" spans="9:11" ht="13.15">
      <c r="I348" s="5"/>
      <c r="J348" s="5"/>
      <c r="K348" s="5"/>
    </row>
    <row r="349" spans="9:11" ht="13.15">
      <c r="I349" s="5"/>
      <c r="J349" s="5"/>
      <c r="K349" s="5"/>
    </row>
    <row r="350" spans="9:11" ht="13.15">
      <c r="I350" s="5"/>
      <c r="J350" s="5"/>
      <c r="K350" s="5"/>
    </row>
    <row r="351" spans="9:11" ht="13.15">
      <c r="I351" s="5"/>
      <c r="J351" s="5"/>
      <c r="K351" s="5"/>
    </row>
    <row r="352" spans="9:11" ht="13.15">
      <c r="I352" s="5"/>
      <c r="J352" s="5"/>
      <c r="K352" s="5"/>
    </row>
    <row r="353" spans="9:11" ht="13.15">
      <c r="I353" s="5"/>
      <c r="J353" s="5"/>
      <c r="K353" s="5"/>
    </row>
    <row r="354" spans="9:11" ht="13.15">
      <c r="I354" s="5"/>
      <c r="J354" s="5"/>
      <c r="K354" s="5"/>
    </row>
    <row r="355" spans="9:11" ht="13.15">
      <c r="I355" s="5"/>
      <c r="J355" s="5"/>
      <c r="K355" s="5"/>
    </row>
    <row r="356" spans="9:11" ht="13.15">
      <c r="I356" s="5"/>
      <c r="J356" s="5"/>
      <c r="K356" s="5"/>
    </row>
    <row r="357" spans="9:11" ht="13.15">
      <c r="I357" s="5"/>
      <c r="J357" s="5"/>
      <c r="K357" s="5"/>
    </row>
    <row r="358" spans="9:11" ht="13.15">
      <c r="I358" s="5"/>
      <c r="J358" s="5"/>
      <c r="K358" s="5"/>
    </row>
    <row r="359" spans="9:11" ht="13.15">
      <c r="I359" s="5"/>
      <c r="J359" s="5"/>
      <c r="K359" s="5"/>
    </row>
    <row r="360" spans="9:11" ht="13.15">
      <c r="I360" s="5"/>
      <c r="J360" s="5"/>
      <c r="K360" s="5"/>
    </row>
    <row r="361" spans="9:11" ht="13.15">
      <c r="I361" s="5"/>
      <c r="J361" s="5"/>
      <c r="K361" s="5"/>
    </row>
    <row r="362" spans="9:11" ht="13.15">
      <c r="I362" s="5"/>
      <c r="J362" s="5"/>
      <c r="K362" s="5"/>
    </row>
    <row r="363" spans="9:11" ht="13.15">
      <c r="I363" s="5"/>
      <c r="J363" s="5"/>
      <c r="K363" s="5"/>
    </row>
    <row r="364" spans="9:11" ht="13.15">
      <c r="I364" s="5"/>
      <c r="J364" s="5"/>
      <c r="K364" s="5"/>
    </row>
    <row r="365" spans="9:11" ht="13.15">
      <c r="I365" s="5"/>
      <c r="J365" s="5"/>
      <c r="K365" s="5"/>
    </row>
    <row r="366" spans="9:11" ht="13.15">
      <c r="I366" s="5"/>
      <c r="J366" s="5"/>
      <c r="K366" s="5"/>
    </row>
    <row r="367" spans="9:11" ht="13.15">
      <c r="I367" s="5"/>
      <c r="J367" s="5"/>
      <c r="K367" s="5"/>
    </row>
    <row r="368" spans="9:11" ht="13.15">
      <c r="I368" s="5"/>
      <c r="J368" s="5"/>
      <c r="K368" s="5"/>
    </row>
    <row r="369" spans="9:11" ht="13.15">
      <c r="I369" s="5"/>
      <c r="J369" s="5"/>
      <c r="K369" s="5"/>
    </row>
    <row r="370" spans="9:11" ht="13.15">
      <c r="I370" s="5"/>
      <c r="J370" s="5"/>
      <c r="K370" s="5"/>
    </row>
    <row r="371" spans="9:11" ht="13.15">
      <c r="I371" s="5"/>
      <c r="J371" s="5"/>
      <c r="K371" s="5"/>
    </row>
    <row r="372" spans="9:11" ht="13.15">
      <c r="I372" s="5"/>
      <c r="J372" s="5"/>
      <c r="K372" s="5"/>
    </row>
    <row r="373" spans="9:11" ht="13.15">
      <c r="I373" s="5"/>
      <c r="J373" s="5"/>
      <c r="K373" s="5"/>
    </row>
    <row r="374" spans="9:11" ht="13.15">
      <c r="I374" s="5"/>
      <c r="J374" s="5"/>
      <c r="K374" s="5"/>
    </row>
    <row r="375" spans="9:11" ht="13.15">
      <c r="I375" s="5"/>
      <c r="J375" s="5"/>
      <c r="K375" s="5"/>
    </row>
    <row r="376" spans="9:11" ht="13.15">
      <c r="I376" s="5"/>
      <c r="J376" s="5"/>
      <c r="K376" s="5"/>
    </row>
    <row r="377" spans="9:11" ht="13.15">
      <c r="I377" s="5"/>
      <c r="J377" s="5"/>
      <c r="K377" s="5"/>
    </row>
    <row r="378" spans="9:11" ht="13.15">
      <c r="I378" s="5"/>
      <c r="J378" s="5"/>
      <c r="K378" s="5"/>
    </row>
    <row r="379" spans="9:11" ht="13.15">
      <c r="I379" s="5"/>
      <c r="J379" s="5"/>
      <c r="K379" s="5"/>
    </row>
    <row r="380" spans="9:11" ht="13.15">
      <c r="I380" s="5"/>
      <c r="J380" s="5"/>
      <c r="K380" s="5"/>
    </row>
    <row r="381" spans="9:11" ht="13.15">
      <c r="I381" s="5"/>
      <c r="J381" s="5"/>
      <c r="K381" s="5"/>
    </row>
    <row r="382" spans="9:11" ht="13.15">
      <c r="I382" s="5"/>
      <c r="J382" s="5"/>
      <c r="K382" s="5"/>
    </row>
    <row r="383" spans="9:11" ht="13.15">
      <c r="I383" s="5"/>
      <c r="J383" s="5"/>
      <c r="K383" s="5"/>
    </row>
    <row r="384" spans="9:11" ht="13.15">
      <c r="I384" s="5"/>
      <c r="J384" s="5"/>
      <c r="K384" s="5"/>
    </row>
    <row r="385" spans="9:11" ht="13.15">
      <c r="I385" s="5"/>
      <c r="J385" s="5"/>
      <c r="K385" s="5"/>
    </row>
    <row r="386" spans="9:11" ht="13.15">
      <c r="I386" s="5"/>
      <c r="J386" s="5"/>
      <c r="K386" s="5"/>
    </row>
    <row r="387" spans="9:11" ht="13.15">
      <c r="I387" s="5"/>
      <c r="J387" s="5"/>
      <c r="K387" s="5"/>
    </row>
    <row r="388" spans="9:11" ht="13.15">
      <c r="I388" s="5"/>
      <c r="J388" s="5"/>
      <c r="K388" s="5"/>
    </row>
    <row r="389" spans="9:11" ht="13.15">
      <c r="I389" s="5"/>
      <c r="J389" s="5"/>
      <c r="K389" s="5"/>
    </row>
    <row r="390" spans="9:11" ht="13.15">
      <c r="I390" s="5"/>
      <c r="J390" s="5"/>
      <c r="K390" s="5"/>
    </row>
    <row r="391" spans="9:11" ht="13.15">
      <c r="I391" s="5"/>
      <c r="J391" s="5"/>
      <c r="K391" s="5"/>
    </row>
    <row r="392" spans="9:11" ht="13.15">
      <c r="I392" s="5"/>
      <c r="J392" s="5"/>
      <c r="K392" s="5"/>
    </row>
    <row r="393" spans="9:11" ht="13.15">
      <c r="I393" s="5"/>
      <c r="J393" s="5"/>
      <c r="K393" s="5"/>
    </row>
    <row r="394" spans="9:11" ht="13.15">
      <c r="I394" s="5"/>
      <c r="J394" s="5"/>
      <c r="K394" s="5"/>
    </row>
    <row r="395" spans="9:11" ht="13.15">
      <c r="I395" s="5"/>
      <c r="J395" s="5"/>
      <c r="K395" s="5"/>
    </row>
    <row r="396" spans="9:11" ht="13.15">
      <c r="I396" s="5"/>
      <c r="J396" s="5"/>
      <c r="K396" s="5"/>
    </row>
    <row r="397" spans="9:11" ht="13.15">
      <c r="I397" s="5"/>
      <c r="J397" s="5"/>
      <c r="K397" s="5"/>
    </row>
    <row r="398" spans="9:11" ht="13.15">
      <c r="I398" s="5"/>
      <c r="J398" s="5"/>
      <c r="K398" s="5"/>
    </row>
    <row r="399" spans="9:11" ht="13.15">
      <c r="I399" s="5"/>
      <c r="J399" s="5"/>
      <c r="K399" s="5"/>
    </row>
    <row r="400" spans="9:11" ht="13.15">
      <c r="I400" s="5"/>
      <c r="J400" s="5"/>
      <c r="K400" s="5"/>
    </row>
    <row r="401" spans="9:11" ht="13.15">
      <c r="I401" s="5"/>
      <c r="J401" s="5"/>
      <c r="K401" s="5"/>
    </row>
    <row r="402" spans="9:11" ht="13.15">
      <c r="I402" s="5"/>
      <c r="J402" s="5"/>
      <c r="K402" s="5"/>
    </row>
    <row r="403" spans="9:11" ht="13.15">
      <c r="I403" s="5"/>
      <c r="J403" s="5"/>
      <c r="K403" s="5"/>
    </row>
    <row r="404" spans="9:11" ht="13.15">
      <c r="I404" s="5"/>
      <c r="J404" s="5"/>
      <c r="K404" s="5"/>
    </row>
    <row r="405" spans="9:11" ht="13.15">
      <c r="I405" s="5"/>
      <c r="J405" s="5"/>
      <c r="K405" s="5"/>
    </row>
    <row r="406" spans="9:11" ht="13.15">
      <c r="I406" s="5"/>
      <c r="J406" s="5"/>
      <c r="K406" s="5"/>
    </row>
    <row r="407" spans="9:11" ht="13.15">
      <c r="I407" s="5"/>
      <c r="J407" s="5"/>
      <c r="K407" s="5"/>
    </row>
    <row r="408" spans="9:11" ht="13.15">
      <c r="I408" s="5"/>
      <c r="J408" s="5"/>
      <c r="K408" s="5"/>
    </row>
    <row r="409" spans="9:11" ht="13.15">
      <c r="I409" s="5"/>
      <c r="J409" s="5"/>
      <c r="K409" s="5"/>
    </row>
    <row r="410" spans="9:11" ht="13.15">
      <c r="I410" s="5"/>
      <c r="J410" s="5"/>
      <c r="K410" s="5"/>
    </row>
    <row r="411" spans="9:11" ht="13.15">
      <c r="I411" s="5"/>
      <c r="J411" s="5"/>
      <c r="K411" s="5"/>
    </row>
    <row r="412" spans="9:11" ht="13.15">
      <c r="I412" s="5"/>
      <c r="J412" s="5"/>
      <c r="K412" s="5"/>
    </row>
    <row r="413" spans="9:11" ht="13.15">
      <c r="I413" s="5"/>
      <c r="J413" s="5"/>
      <c r="K413" s="5"/>
    </row>
    <row r="414" spans="9:11" ht="13.15">
      <c r="I414" s="5"/>
      <c r="J414" s="5"/>
      <c r="K414" s="5"/>
    </row>
    <row r="415" spans="9:11" ht="13.15">
      <c r="I415" s="5"/>
      <c r="J415" s="5"/>
      <c r="K415" s="5"/>
    </row>
    <row r="416" spans="9:11" ht="13.15">
      <c r="I416" s="5"/>
      <c r="J416" s="5"/>
      <c r="K416" s="5"/>
    </row>
    <row r="417" spans="9:11" ht="13.15">
      <c r="I417" s="5"/>
      <c r="J417" s="5"/>
      <c r="K417" s="5"/>
    </row>
    <row r="418" spans="9:11" ht="13.15">
      <c r="I418" s="5"/>
      <c r="J418" s="5"/>
      <c r="K418" s="5"/>
    </row>
    <row r="419" spans="9:11" ht="13.15">
      <c r="I419" s="5"/>
      <c r="J419" s="5"/>
      <c r="K419" s="5"/>
    </row>
    <row r="420" spans="9:11" ht="13.15">
      <c r="I420" s="5"/>
      <c r="J420" s="5"/>
      <c r="K420" s="5"/>
    </row>
    <row r="421" spans="9:11" ht="13.15">
      <c r="I421" s="5"/>
      <c r="J421" s="5"/>
      <c r="K421" s="5"/>
    </row>
    <row r="422" spans="9:11" ht="13.15">
      <c r="I422" s="5"/>
      <c r="J422" s="5"/>
      <c r="K422" s="5"/>
    </row>
    <row r="423" spans="9:11" ht="13.15">
      <c r="I423" s="5"/>
      <c r="J423" s="5"/>
      <c r="K423" s="5"/>
    </row>
    <row r="424" spans="9:11" ht="13.15">
      <c r="I424" s="5"/>
      <c r="J424" s="5"/>
      <c r="K424" s="5"/>
    </row>
    <row r="425" spans="9:11" ht="13.15">
      <c r="I425" s="5"/>
      <c r="J425" s="5"/>
      <c r="K425" s="5"/>
    </row>
    <row r="426" spans="9:11" ht="13.15">
      <c r="I426" s="5"/>
      <c r="J426" s="5"/>
      <c r="K426" s="5"/>
    </row>
    <row r="427" spans="9:11" ht="13.15">
      <c r="I427" s="5"/>
      <c r="J427" s="5"/>
      <c r="K427" s="5"/>
    </row>
    <row r="428" spans="9:11" ht="13.15">
      <c r="I428" s="5"/>
      <c r="J428" s="5"/>
      <c r="K428" s="5"/>
    </row>
    <row r="429" spans="9:11" ht="13.15">
      <c r="I429" s="5"/>
      <c r="J429" s="5"/>
      <c r="K429" s="5"/>
    </row>
    <row r="430" spans="9:11" ht="13.15">
      <c r="I430" s="5"/>
      <c r="J430" s="5"/>
      <c r="K430" s="5"/>
    </row>
    <row r="431" spans="9:11" ht="13.15">
      <c r="I431" s="5"/>
      <c r="J431" s="5"/>
      <c r="K431" s="5"/>
    </row>
    <row r="432" spans="9:11" ht="13.15">
      <c r="I432" s="5"/>
      <c r="J432" s="5"/>
      <c r="K432" s="5"/>
    </row>
    <row r="433" spans="9:11" ht="13.15">
      <c r="I433" s="5"/>
      <c r="J433" s="5"/>
      <c r="K433" s="5"/>
    </row>
    <row r="434" spans="9:11" ht="13.15">
      <c r="I434" s="5"/>
      <c r="J434" s="5"/>
      <c r="K434" s="5"/>
    </row>
    <row r="435" spans="9:11" ht="13.15">
      <c r="I435" s="5"/>
      <c r="J435" s="5"/>
      <c r="K435" s="5"/>
    </row>
    <row r="436" spans="9:11" ht="13.15">
      <c r="I436" s="5"/>
      <c r="J436" s="5"/>
      <c r="K436" s="5"/>
    </row>
    <row r="437" spans="9:11" ht="13.15">
      <c r="I437" s="5"/>
      <c r="J437" s="5"/>
      <c r="K437" s="5"/>
    </row>
    <row r="438" spans="9:11" ht="13.15">
      <c r="I438" s="5"/>
      <c r="J438" s="5"/>
      <c r="K438" s="5"/>
    </row>
    <row r="439" spans="9:11" ht="13.15">
      <c r="I439" s="5"/>
      <c r="J439" s="5"/>
      <c r="K439" s="5"/>
    </row>
    <row r="440" spans="9:11" ht="13.15">
      <c r="I440" s="5"/>
      <c r="J440" s="5"/>
      <c r="K440" s="5"/>
    </row>
    <row r="441" spans="9:11" ht="13.15">
      <c r="I441" s="5"/>
      <c r="J441" s="5"/>
      <c r="K441" s="5"/>
    </row>
    <row r="442" spans="9:11" ht="13.15">
      <c r="I442" s="5"/>
      <c r="J442" s="5"/>
      <c r="K442" s="5"/>
    </row>
    <row r="443" spans="9:11" ht="13.15">
      <c r="I443" s="5"/>
      <c r="J443" s="5"/>
      <c r="K443" s="5"/>
    </row>
    <row r="444" spans="9:11" ht="13.15">
      <c r="I444" s="5"/>
      <c r="J444" s="5"/>
      <c r="K444" s="5"/>
    </row>
    <row r="445" spans="9:11" ht="13.15">
      <c r="I445" s="5"/>
      <c r="J445" s="5"/>
      <c r="K445" s="5"/>
    </row>
    <row r="446" spans="9:11" ht="13.15">
      <c r="I446" s="5"/>
      <c r="J446" s="5"/>
      <c r="K446" s="5"/>
    </row>
    <row r="447" spans="9:11" ht="13.15">
      <c r="I447" s="5"/>
      <c r="J447" s="5"/>
      <c r="K447" s="5"/>
    </row>
    <row r="448" spans="9:11" ht="13.15">
      <c r="I448" s="5"/>
      <c r="J448" s="5"/>
      <c r="K448" s="5"/>
    </row>
    <row r="449" spans="9:11" ht="13.15">
      <c r="I449" s="5"/>
      <c r="J449" s="5"/>
      <c r="K449" s="5"/>
    </row>
    <row r="450" spans="9:11" ht="13.15">
      <c r="I450" s="5"/>
      <c r="J450" s="5"/>
      <c r="K450" s="5"/>
    </row>
    <row r="451" spans="9:11" ht="13.15">
      <c r="I451" s="5"/>
      <c r="J451" s="5"/>
      <c r="K451" s="5"/>
    </row>
    <row r="452" spans="9:11" ht="13.15">
      <c r="I452" s="5"/>
      <c r="J452" s="5"/>
      <c r="K452" s="5"/>
    </row>
    <row r="453" spans="9:11" ht="13.15">
      <c r="I453" s="5"/>
      <c r="J453" s="5"/>
      <c r="K453" s="5"/>
    </row>
    <row r="454" spans="9:11" ht="13.15">
      <c r="I454" s="5"/>
      <c r="J454" s="5"/>
      <c r="K454" s="5"/>
    </row>
    <row r="455" spans="9:11" ht="13.15">
      <c r="I455" s="5"/>
      <c r="J455" s="5"/>
      <c r="K455" s="5"/>
    </row>
    <row r="456" spans="9:11" ht="13.15">
      <c r="I456" s="5"/>
      <c r="J456" s="5"/>
      <c r="K456" s="5"/>
    </row>
    <row r="457" spans="9:11" ht="13.15">
      <c r="I457" s="5"/>
      <c r="J457" s="5"/>
      <c r="K457" s="5"/>
    </row>
    <row r="458" spans="9:11" ht="13.15">
      <c r="I458" s="5"/>
      <c r="J458" s="5"/>
      <c r="K458" s="5"/>
    </row>
    <row r="459" spans="9:11" ht="13.15">
      <c r="I459" s="5"/>
      <c r="J459" s="5"/>
      <c r="K459" s="5"/>
    </row>
    <row r="460" spans="9:11" ht="13.15">
      <c r="I460" s="5"/>
      <c r="J460" s="5"/>
      <c r="K460" s="5"/>
    </row>
    <row r="461" spans="9:11" ht="13.15">
      <c r="I461" s="5"/>
      <c r="J461" s="5"/>
      <c r="K461" s="5"/>
    </row>
    <row r="462" spans="9:11" ht="13.15">
      <c r="I462" s="5"/>
      <c r="J462" s="5"/>
      <c r="K462" s="5"/>
    </row>
    <row r="463" spans="9:11" ht="13.15">
      <c r="I463" s="5"/>
      <c r="J463" s="5"/>
      <c r="K463" s="5"/>
    </row>
    <row r="464" spans="9:11" ht="13.15">
      <c r="I464" s="5"/>
      <c r="J464" s="5"/>
      <c r="K464" s="5"/>
    </row>
    <row r="465" spans="9:11" ht="13.15">
      <c r="I465" s="5"/>
      <c r="J465" s="5"/>
      <c r="K465" s="5"/>
    </row>
    <row r="466" spans="9:11" ht="13.15">
      <c r="I466" s="5"/>
      <c r="J466" s="5"/>
      <c r="K466" s="5"/>
    </row>
    <row r="467" spans="9:11" ht="13.15">
      <c r="I467" s="5"/>
      <c r="J467" s="5"/>
      <c r="K467" s="5"/>
    </row>
    <row r="468" spans="9:11" ht="13.15">
      <c r="I468" s="5"/>
      <c r="J468" s="5"/>
      <c r="K468" s="5"/>
    </row>
    <row r="469" spans="9:11" ht="13.15">
      <c r="I469" s="5"/>
      <c r="J469" s="5"/>
      <c r="K469" s="5"/>
    </row>
    <row r="470" spans="9:11" ht="13.15">
      <c r="I470" s="5"/>
      <c r="J470" s="5"/>
      <c r="K470" s="5"/>
    </row>
    <row r="471" spans="9:11" ht="13.15">
      <c r="I471" s="5"/>
      <c r="J471" s="5"/>
      <c r="K471" s="5"/>
    </row>
    <row r="472" spans="9:11" ht="13.15">
      <c r="I472" s="5"/>
      <c r="J472" s="5"/>
      <c r="K472" s="5"/>
    </row>
    <row r="473" spans="9:11" ht="13.15">
      <c r="I473" s="5"/>
      <c r="J473" s="5"/>
      <c r="K473" s="5"/>
    </row>
    <row r="474" spans="9:11" ht="13.15">
      <c r="I474" s="5"/>
      <c r="J474" s="5"/>
      <c r="K474" s="5"/>
    </row>
    <row r="475" spans="9:11" ht="13.15">
      <c r="I475" s="5"/>
      <c r="J475" s="5"/>
      <c r="K475" s="5"/>
    </row>
    <row r="476" spans="9:11" ht="13.15">
      <c r="I476" s="5"/>
      <c r="J476" s="5"/>
      <c r="K476" s="5"/>
    </row>
    <row r="477" spans="9:11" ht="13.15">
      <c r="I477" s="5"/>
      <c r="J477" s="5"/>
      <c r="K477" s="5"/>
    </row>
    <row r="478" spans="9:11" ht="13.15">
      <c r="I478" s="5"/>
      <c r="J478" s="5"/>
      <c r="K478" s="5"/>
    </row>
    <row r="479" spans="9:11" ht="13.15">
      <c r="I479" s="5"/>
      <c r="J479" s="5"/>
      <c r="K479" s="5"/>
    </row>
    <row r="480" spans="9:11" ht="13.15">
      <c r="I480" s="5"/>
      <c r="J480" s="5"/>
      <c r="K480" s="5"/>
    </row>
    <row r="481" spans="9:11" ht="13.15">
      <c r="I481" s="5"/>
      <c r="J481" s="5"/>
      <c r="K481" s="5"/>
    </row>
    <row r="482" spans="9:11" ht="13.15">
      <c r="I482" s="5"/>
      <c r="J482" s="5"/>
      <c r="K482" s="5"/>
    </row>
    <row r="483" spans="9:11" ht="13.15">
      <c r="I483" s="5"/>
      <c r="J483" s="5"/>
      <c r="K483" s="5"/>
    </row>
    <row r="484" spans="9:11" ht="13.15">
      <c r="I484" s="5"/>
      <c r="J484" s="5"/>
      <c r="K484" s="5"/>
    </row>
    <row r="485" spans="9:11" ht="13.15">
      <c r="I485" s="5"/>
      <c r="J485" s="5"/>
      <c r="K485" s="5"/>
    </row>
    <row r="486" spans="9:11" ht="13.15">
      <c r="I486" s="5"/>
      <c r="J486" s="5"/>
      <c r="K486" s="5"/>
    </row>
    <row r="487" spans="9:11" ht="13.15">
      <c r="I487" s="5"/>
      <c r="J487" s="5"/>
      <c r="K487" s="5"/>
    </row>
    <row r="488" spans="9:11" ht="13.15">
      <c r="I488" s="5"/>
      <c r="J488" s="5"/>
      <c r="K488" s="5"/>
    </row>
    <row r="489" spans="9:11" ht="13.15">
      <c r="I489" s="5"/>
      <c r="J489" s="5"/>
      <c r="K489" s="5"/>
    </row>
    <row r="490" spans="9:11" ht="13.15">
      <c r="I490" s="5"/>
      <c r="J490" s="5"/>
      <c r="K490" s="5"/>
    </row>
    <row r="491" spans="9:11" ht="13.15">
      <c r="I491" s="5"/>
      <c r="J491" s="5"/>
      <c r="K491" s="5"/>
    </row>
    <row r="492" spans="9:11" ht="13.15">
      <c r="I492" s="5"/>
      <c r="J492" s="5"/>
      <c r="K492" s="5"/>
    </row>
    <row r="493" spans="9:11" ht="13.15">
      <c r="I493" s="5"/>
      <c r="J493" s="5"/>
      <c r="K493" s="5"/>
    </row>
    <row r="494" spans="9:11" ht="13.15">
      <c r="I494" s="5"/>
      <c r="J494" s="5"/>
      <c r="K494" s="5"/>
    </row>
    <row r="495" spans="9:11" ht="13.15">
      <c r="I495" s="5"/>
      <c r="J495" s="5"/>
      <c r="K495" s="5"/>
    </row>
    <row r="496" spans="9:11" ht="13.15">
      <c r="I496" s="5"/>
      <c r="J496" s="5"/>
      <c r="K496" s="5"/>
    </row>
    <row r="497" spans="9:11" ht="13.15">
      <c r="I497" s="5"/>
      <c r="J497" s="5"/>
      <c r="K497" s="5"/>
    </row>
    <row r="498" spans="9:11" ht="13.15">
      <c r="I498" s="5"/>
      <c r="J498" s="5"/>
      <c r="K498" s="5"/>
    </row>
    <row r="499" spans="9:11" ht="13.15">
      <c r="I499" s="5"/>
      <c r="J499" s="5"/>
      <c r="K499" s="5"/>
    </row>
    <row r="500" spans="9:11" ht="13.15">
      <c r="I500" s="5"/>
      <c r="J500" s="5"/>
      <c r="K500" s="5"/>
    </row>
    <row r="501" spans="9:11" ht="13.15">
      <c r="I501" s="5"/>
      <c r="J501" s="5"/>
      <c r="K501" s="5"/>
    </row>
    <row r="502" spans="9:11" ht="13.15">
      <c r="I502" s="5"/>
      <c r="J502" s="5"/>
      <c r="K502" s="5"/>
    </row>
    <row r="503" spans="9:11" ht="13.15">
      <c r="I503" s="5"/>
      <c r="J503" s="5"/>
      <c r="K503" s="5"/>
    </row>
    <row r="504" spans="9:11" ht="13.15">
      <c r="I504" s="5"/>
      <c r="J504" s="5"/>
      <c r="K504" s="5"/>
    </row>
    <row r="505" spans="9:11" ht="13.15">
      <c r="I505" s="5"/>
      <c r="J505" s="5"/>
      <c r="K505" s="5"/>
    </row>
    <row r="506" spans="9:11" ht="13.15">
      <c r="I506" s="5"/>
      <c r="J506" s="5"/>
      <c r="K506" s="5"/>
    </row>
    <row r="507" spans="9:11" ht="13.15">
      <c r="I507" s="5"/>
      <c r="J507" s="5"/>
      <c r="K507" s="5"/>
    </row>
    <row r="508" spans="9:11" ht="13.15">
      <c r="I508" s="5"/>
      <c r="J508" s="5"/>
      <c r="K508" s="5"/>
    </row>
    <row r="509" spans="9:11" ht="13.15">
      <c r="I509" s="5"/>
      <c r="J509" s="5"/>
      <c r="K509" s="5"/>
    </row>
    <row r="510" spans="9:11" ht="13.15">
      <c r="I510" s="5"/>
      <c r="J510" s="5"/>
      <c r="K510" s="5"/>
    </row>
    <row r="511" spans="9:11" ht="13.15">
      <c r="I511" s="5"/>
      <c r="J511" s="5"/>
      <c r="K511" s="5"/>
    </row>
    <row r="512" spans="9:11" ht="13.15">
      <c r="I512" s="5"/>
      <c r="J512" s="5"/>
      <c r="K512" s="5"/>
    </row>
    <row r="513" spans="9:11" ht="13.15">
      <c r="I513" s="5"/>
      <c r="J513" s="5"/>
      <c r="K513" s="5"/>
    </row>
    <row r="514" spans="9:11" ht="13.15">
      <c r="I514" s="5"/>
      <c r="J514" s="5"/>
      <c r="K514" s="5"/>
    </row>
    <row r="515" spans="9:11" ht="13.15">
      <c r="I515" s="5"/>
      <c r="J515" s="5"/>
      <c r="K515" s="5"/>
    </row>
    <row r="516" spans="9:11" ht="13.15">
      <c r="I516" s="5"/>
      <c r="J516" s="5"/>
      <c r="K516" s="5"/>
    </row>
    <row r="517" spans="9:11" ht="13.15">
      <c r="I517" s="5"/>
      <c r="J517" s="5"/>
      <c r="K517" s="5"/>
    </row>
    <row r="518" spans="9:11" ht="13.15">
      <c r="I518" s="5"/>
      <c r="J518" s="5"/>
      <c r="K518" s="5"/>
    </row>
    <row r="519" spans="9:11" ht="13.15">
      <c r="I519" s="5"/>
      <c r="J519" s="5"/>
      <c r="K519" s="5"/>
    </row>
    <row r="520" spans="9:11" ht="13.15">
      <c r="I520" s="5"/>
      <c r="J520" s="5"/>
      <c r="K520" s="5"/>
    </row>
    <row r="521" spans="9:11" ht="13.15">
      <c r="I521" s="5"/>
      <c r="J521" s="5"/>
      <c r="K521" s="5"/>
    </row>
    <row r="522" spans="9:11" ht="13.15">
      <c r="I522" s="5"/>
      <c r="J522" s="5"/>
      <c r="K522" s="5"/>
    </row>
    <row r="523" spans="9:11" ht="13.15">
      <c r="I523" s="5"/>
      <c r="J523" s="5"/>
      <c r="K523" s="5"/>
    </row>
    <row r="524" spans="9:11" ht="13.15">
      <c r="I524" s="5"/>
      <c r="J524" s="5"/>
      <c r="K524" s="5"/>
    </row>
    <row r="525" spans="9:11" ht="13.15">
      <c r="I525" s="5"/>
      <c r="J525" s="5"/>
      <c r="K525" s="5"/>
    </row>
    <row r="526" spans="9:11" ht="13.15">
      <c r="I526" s="5"/>
      <c r="J526" s="5"/>
      <c r="K526" s="5"/>
    </row>
    <row r="527" spans="9:11" ht="13.15">
      <c r="I527" s="5"/>
      <c r="J527" s="5"/>
      <c r="K527" s="5"/>
    </row>
    <row r="528" spans="9:11" ht="13.15">
      <c r="I528" s="5"/>
      <c r="J528" s="5"/>
      <c r="K528" s="5"/>
    </row>
    <row r="529" spans="9:11" ht="13.15">
      <c r="I529" s="5"/>
      <c r="J529" s="5"/>
      <c r="K529" s="5"/>
    </row>
    <row r="530" spans="9:11" ht="13.15">
      <c r="I530" s="5"/>
      <c r="J530" s="5"/>
      <c r="K530" s="5"/>
    </row>
    <row r="531" spans="9:11" ht="13.15">
      <c r="I531" s="5"/>
      <c r="J531" s="5"/>
      <c r="K531" s="5"/>
    </row>
    <row r="532" spans="9:11" ht="13.15">
      <c r="I532" s="5"/>
      <c r="J532" s="5"/>
      <c r="K532" s="5"/>
    </row>
    <row r="533" spans="9:11" ht="13.15">
      <c r="I533" s="5"/>
      <c r="J533" s="5"/>
      <c r="K533" s="5"/>
    </row>
    <row r="534" spans="9:11" ht="13.15">
      <c r="I534" s="5"/>
      <c r="J534" s="5"/>
      <c r="K534" s="5"/>
    </row>
    <row r="535" spans="9:11" ht="13.15">
      <c r="I535" s="5"/>
      <c r="J535" s="5"/>
      <c r="K535" s="5"/>
    </row>
    <row r="536" spans="9:11" ht="13.15">
      <c r="I536" s="5"/>
      <c r="J536" s="5"/>
      <c r="K536" s="5"/>
    </row>
    <row r="537" spans="9:11" ht="13.15">
      <c r="I537" s="5"/>
      <c r="J537" s="5"/>
      <c r="K537" s="5"/>
    </row>
    <row r="538" spans="9:11" ht="13.15">
      <c r="I538" s="5"/>
      <c r="J538" s="5"/>
      <c r="K538" s="5"/>
    </row>
    <row r="539" spans="9:11" ht="13.15">
      <c r="I539" s="5"/>
      <c r="J539" s="5"/>
      <c r="K539" s="5"/>
    </row>
    <row r="540" spans="9:11" ht="13.15">
      <c r="I540" s="5"/>
      <c r="J540" s="5"/>
      <c r="K540" s="5"/>
    </row>
    <row r="541" spans="9:11" ht="13.15">
      <c r="I541" s="5"/>
      <c r="J541" s="5"/>
      <c r="K541" s="5"/>
    </row>
    <row r="542" spans="9:11" ht="13.15">
      <c r="I542" s="5"/>
      <c r="J542" s="5"/>
      <c r="K542" s="5"/>
    </row>
    <row r="543" spans="9:11" ht="13.15">
      <c r="I543" s="5"/>
      <c r="J543" s="5"/>
      <c r="K543" s="5"/>
    </row>
    <row r="544" spans="9:11" ht="13.15">
      <c r="I544" s="5"/>
      <c r="J544" s="5"/>
      <c r="K544" s="5"/>
    </row>
    <row r="545" spans="9:11" ht="13.15">
      <c r="I545" s="5"/>
      <c r="J545" s="5"/>
      <c r="K545" s="5"/>
    </row>
    <row r="546" spans="9:11" ht="13.15">
      <c r="I546" s="5"/>
      <c r="J546" s="5"/>
      <c r="K546" s="5"/>
    </row>
    <row r="547" spans="9:11" ht="13.15">
      <c r="I547" s="5"/>
      <c r="J547" s="5"/>
      <c r="K547" s="5"/>
    </row>
    <row r="548" spans="9:11" ht="13.15">
      <c r="I548" s="5"/>
      <c r="J548" s="5"/>
      <c r="K548" s="5"/>
    </row>
    <row r="549" spans="9:11" ht="13.15">
      <c r="I549" s="5"/>
      <c r="J549" s="5"/>
      <c r="K549" s="5"/>
    </row>
    <row r="550" spans="9:11" ht="13.15">
      <c r="I550" s="5"/>
      <c r="J550" s="5"/>
      <c r="K550" s="5"/>
    </row>
    <row r="551" spans="9:11" ht="13.15">
      <c r="I551" s="5"/>
      <c r="J551" s="5"/>
      <c r="K551" s="5"/>
    </row>
    <row r="552" spans="9:11" ht="13.15">
      <c r="I552" s="5"/>
      <c r="J552" s="5"/>
      <c r="K552" s="5"/>
    </row>
    <row r="553" spans="9:11" ht="13.15">
      <c r="I553" s="5"/>
      <c r="J553" s="5"/>
      <c r="K553" s="5"/>
    </row>
    <row r="554" spans="9:11" ht="13.15">
      <c r="I554" s="5"/>
      <c r="J554" s="5"/>
      <c r="K554" s="5"/>
    </row>
    <row r="555" spans="9:11" ht="13.15">
      <c r="I555" s="5"/>
      <c r="J555" s="5"/>
      <c r="K555" s="5"/>
    </row>
    <row r="556" spans="9:11" ht="13.15">
      <c r="I556" s="5"/>
      <c r="J556" s="5"/>
      <c r="K556" s="5"/>
    </row>
    <row r="557" spans="9:11" ht="13.15">
      <c r="I557" s="5"/>
      <c r="J557" s="5"/>
      <c r="K557" s="5"/>
    </row>
    <row r="558" spans="9:11" ht="13.15">
      <c r="I558" s="5"/>
      <c r="J558" s="5"/>
      <c r="K558" s="5"/>
    </row>
    <row r="559" spans="9:11" ht="13.15">
      <c r="I559" s="5"/>
      <c r="J559" s="5"/>
      <c r="K559" s="5"/>
    </row>
    <row r="560" spans="9:11" ht="13.15">
      <c r="I560" s="5"/>
      <c r="J560" s="5"/>
      <c r="K560" s="5"/>
    </row>
    <row r="561" spans="9:11" ht="13.15">
      <c r="I561" s="5"/>
      <c r="J561" s="5"/>
      <c r="K561" s="5"/>
    </row>
    <row r="562" spans="9:11" ht="13.15">
      <c r="I562" s="5"/>
      <c r="J562" s="5"/>
      <c r="K562" s="5"/>
    </row>
    <row r="563" spans="9:11" ht="13.15">
      <c r="I563" s="5"/>
      <c r="J563" s="5"/>
      <c r="K563" s="5"/>
    </row>
    <row r="564" spans="9:11" ht="13.15">
      <c r="I564" s="5"/>
      <c r="J564" s="5"/>
      <c r="K564" s="5"/>
    </row>
    <row r="565" spans="9:11" ht="13.15">
      <c r="I565" s="5"/>
      <c r="J565" s="5"/>
      <c r="K565" s="5"/>
    </row>
    <row r="566" spans="9:11" ht="13.15">
      <c r="I566" s="5"/>
      <c r="J566" s="5"/>
      <c r="K566" s="5"/>
    </row>
    <row r="567" spans="9:11" ht="13.15">
      <c r="I567" s="5"/>
      <c r="J567" s="5"/>
      <c r="K567" s="5"/>
    </row>
    <row r="568" spans="9:11" ht="13.15">
      <c r="I568" s="5"/>
      <c r="J568" s="5"/>
      <c r="K568" s="5"/>
    </row>
    <row r="569" spans="9:11" ht="13.15">
      <c r="I569" s="5"/>
      <c r="J569" s="5"/>
      <c r="K569" s="5"/>
    </row>
    <row r="570" spans="9:11" ht="13.15">
      <c r="I570" s="5"/>
      <c r="J570" s="5"/>
      <c r="K570" s="5"/>
    </row>
    <row r="571" spans="9:11" ht="13.15">
      <c r="I571" s="5"/>
      <c r="J571" s="5"/>
      <c r="K571" s="5"/>
    </row>
    <row r="572" spans="9:11" ht="13.15">
      <c r="I572" s="5"/>
      <c r="J572" s="5"/>
      <c r="K572" s="5"/>
    </row>
    <row r="573" spans="9:11" ht="13.15">
      <c r="I573" s="5"/>
      <c r="J573" s="5"/>
      <c r="K573" s="5"/>
    </row>
    <row r="574" spans="9:11" ht="13.15">
      <c r="I574" s="5"/>
      <c r="J574" s="5"/>
      <c r="K574" s="5"/>
    </row>
    <row r="575" spans="9:11" ht="13.15">
      <c r="I575" s="5"/>
      <c r="J575" s="5"/>
      <c r="K575" s="5"/>
    </row>
    <row r="576" spans="9:11" ht="13.15">
      <c r="I576" s="5"/>
      <c r="J576" s="5"/>
      <c r="K576" s="5"/>
    </row>
    <row r="577" spans="9:11" ht="13.15">
      <c r="I577" s="5"/>
      <c r="J577" s="5"/>
      <c r="K577" s="5"/>
    </row>
    <row r="578" spans="9:11" ht="13.15">
      <c r="I578" s="5"/>
      <c r="J578" s="5"/>
      <c r="K578" s="5"/>
    </row>
    <row r="579" spans="9:11" ht="13.15">
      <c r="I579" s="5"/>
      <c r="J579" s="5"/>
      <c r="K579" s="5"/>
    </row>
    <row r="580" spans="9:11" ht="13.15">
      <c r="I580" s="5"/>
      <c r="J580" s="5"/>
      <c r="K580" s="5"/>
    </row>
    <row r="581" spans="9:11" ht="13.15">
      <c r="I581" s="5"/>
      <c r="J581" s="5"/>
      <c r="K581" s="5"/>
    </row>
    <row r="582" spans="9:11" ht="13.15">
      <c r="I582" s="5"/>
      <c r="J582" s="5"/>
      <c r="K582" s="5"/>
    </row>
    <row r="583" spans="9:11" ht="13.15">
      <c r="I583" s="5"/>
      <c r="J583" s="5"/>
      <c r="K583" s="5"/>
    </row>
    <row r="584" spans="9:11" ht="13.15">
      <c r="I584" s="5"/>
      <c r="J584" s="5"/>
      <c r="K584" s="5"/>
    </row>
    <row r="585" spans="9:11" ht="13.15">
      <c r="I585" s="5"/>
      <c r="J585" s="5"/>
      <c r="K585" s="5"/>
    </row>
    <row r="586" spans="9:11" ht="13.15">
      <c r="I586" s="5"/>
      <c r="J586" s="5"/>
      <c r="K586" s="5"/>
    </row>
    <row r="587" spans="9:11" ht="13.15">
      <c r="I587" s="5"/>
      <c r="J587" s="5"/>
      <c r="K587" s="5"/>
    </row>
    <row r="588" spans="9:11" ht="13.15">
      <c r="I588" s="5"/>
      <c r="J588" s="5"/>
      <c r="K588" s="5"/>
    </row>
    <row r="589" spans="9:11" ht="13.15">
      <c r="I589" s="5"/>
      <c r="J589" s="5"/>
      <c r="K589" s="5"/>
    </row>
    <row r="590" spans="9:11" ht="13.15">
      <c r="I590" s="5"/>
      <c r="J590" s="5"/>
      <c r="K590" s="5"/>
    </row>
    <row r="591" spans="9:11" ht="13.15">
      <c r="I591" s="5"/>
      <c r="J591" s="5"/>
      <c r="K591" s="5"/>
    </row>
    <row r="592" spans="9:11" ht="13.15">
      <c r="I592" s="5"/>
      <c r="J592" s="5"/>
      <c r="K592" s="5"/>
    </row>
    <row r="593" spans="9:11" ht="13.15">
      <c r="I593" s="5"/>
      <c r="J593" s="5"/>
      <c r="K593" s="5"/>
    </row>
    <row r="594" spans="9:11" ht="13.15">
      <c r="I594" s="5"/>
      <c r="J594" s="5"/>
      <c r="K594" s="5"/>
    </row>
    <row r="595" spans="9:11" ht="13.15">
      <c r="I595" s="5"/>
      <c r="J595" s="5"/>
      <c r="K595" s="5"/>
    </row>
    <row r="596" spans="9:11" ht="13.15">
      <c r="I596" s="5"/>
      <c r="J596" s="5"/>
      <c r="K596" s="5"/>
    </row>
    <row r="597" spans="9:11" ht="13.15">
      <c r="I597" s="5"/>
      <c r="J597" s="5"/>
      <c r="K597" s="5"/>
    </row>
    <row r="598" spans="9:11" ht="13.15">
      <c r="I598" s="5"/>
      <c r="J598" s="5"/>
      <c r="K598" s="5"/>
    </row>
    <row r="599" spans="9:11" ht="13.15">
      <c r="I599" s="5"/>
      <c r="J599" s="5"/>
      <c r="K599" s="5"/>
    </row>
    <row r="600" spans="9:11" ht="13.15">
      <c r="I600" s="5"/>
      <c r="J600" s="5"/>
      <c r="K600" s="5"/>
    </row>
    <row r="601" spans="9:11" ht="13.15">
      <c r="I601" s="5"/>
      <c r="J601" s="5"/>
      <c r="K601" s="5"/>
    </row>
    <row r="602" spans="9:11" ht="13.15">
      <c r="I602" s="5"/>
      <c r="J602" s="5"/>
      <c r="K602" s="5"/>
    </row>
    <row r="603" spans="9:11" ht="13.15">
      <c r="I603" s="5"/>
      <c r="J603" s="5"/>
      <c r="K603" s="5"/>
    </row>
    <row r="604" spans="9:11" ht="13.15">
      <c r="I604" s="5"/>
      <c r="J604" s="5"/>
      <c r="K604" s="5"/>
    </row>
    <row r="605" spans="9:11" ht="13.15">
      <c r="I605" s="5"/>
      <c r="J605" s="5"/>
      <c r="K605" s="5"/>
    </row>
    <row r="606" spans="9:11" ht="13.15">
      <c r="I606" s="5"/>
      <c r="J606" s="5"/>
      <c r="K606" s="5"/>
    </row>
    <row r="607" spans="9:11" ht="13.15">
      <c r="I607" s="5"/>
      <c r="J607" s="5"/>
      <c r="K607" s="5"/>
    </row>
    <row r="608" spans="9:11" ht="13.15">
      <c r="I608" s="5"/>
      <c r="J608" s="5"/>
      <c r="K608" s="5"/>
    </row>
    <row r="609" spans="9:11" ht="13.15">
      <c r="I609" s="5"/>
      <c r="J609" s="5"/>
      <c r="K609" s="5"/>
    </row>
    <row r="610" spans="9:11" ht="13.15">
      <c r="I610" s="5"/>
      <c r="J610" s="5"/>
      <c r="K610" s="5"/>
    </row>
    <row r="611" spans="9:11" ht="13.15">
      <c r="I611" s="5"/>
      <c r="J611" s="5"/>
      <c r="K611" s="5"/>
    </row>
    <row r="612" spans="9:11" ht="13.15">
      <c r="I612" s="5"/>
      <c r="J612" s="5"/>
      <c r="K612" s="5"/>
    </row>
    <row r="613" spans="9:11" ht="13.15">
      <c r="I613" s="5"/>
      <c r="J613" s="5"/>
      <c r="K613" s="5"/>
    </row>
    <row r="614" spans="9:11" ht="13.15">
      <c r="I614" s="5"/>
      <c r="J614" s="5"/>
      <c r="K614" s="5"/>
    </row>
    <row r="615" spans="9:11" ht="13.15">
      <c r="I615" s="5"/>
      <c r="J615" s="5"/>
      <c r="K615" s="5"/>
    </row>
    <row r="616" spans="9:11" ht="13.15">
      <c r="I616" s="5"/>
      <c r="J616" s="5"/>
      <c r="K616" s="5"/>
    </row>
    <row r="617" spans="9:11" ht="13.15">
      <c r="I617" s="5"/>
      <c r="J617" s="5"/>
      <c r="K617" s="5"/>
    </row>
    <row r="618" spans="9:11" ht="13.15">
      <c r="I618" s="5"/>
      <c r="J618" s="5"/>
      <c r="K618" s="5"/>
    </row>
    <row r="619" spans="9:11" ht="13.15">
      <c r="I619" s="5"/>
      <c r="J619" s="5"/>
      <c r="K619" s="5"/>
    </row>
    <row r="620" spans="9:11" ht="13.15">
      <c r="I620" s="5"/>
      <c r="J620" s="5"/>
      <c r="K620" s="5"/>
    </row>
    <row r="621" spans="9:11" ht="13.15">
      <c r="I621" s="5"/>
      <c r="J621" s="5"/>
      <c r="K621" s="5"/>
    </row>
    <row r="622" spans="9:11" ht="13.15">
      <c r="I622" s="5"/>
      <c r="J622" s="5"/>
      <c r="K622" s="5"/>
    </row>
    <row r="623" spans="9:11" ht="13.15">
      <c r="I623" s="5"/>
      <c r="J623" s="5"/>
      <c r="K623" s="5"/>
    </row>
    <row r="624" spans="9:11" ht="13.15">
      <c r="I624" s="5"/>
      <c r="J624" s="5"/>
      <c r="K624" s="5"/>
    </row>
    <row r="625" spans="9:11" ht="13.15">
      <c r="I625" s="5"/>
      <c r="J625" s="5"/>
      <c r="K625" s="5"/>
    </row>
    <row r="626" spans="9:11" ht="13.15">
      <c r="I626" s="5"/>
      <c r="J626" s="5"/>
      <c r="K626" s="5"/>
    </row>
    <row r="627" spans="9:11" ht="13.15">
      <c r="I627" s="5"/>
      <c r="J627" s="5"/>
      <c r="K627" s="5"/>
    </row>
    <row r="628" spans="9:11" ht="13.15">
      <c r="I628" s="5"/>
      <c r="J628" s="5"/>
      <c r="K628" s="5"/>
    </row>
    <row r="629" spans="9:11" ht="13.15">
      <c r="I629" s="5"/>
      <c r="J629" s="5"/>
      <c r="K629" s="5"/>
    </row>
    <row r="630" spans="9:11" ht="13.15">
      <c r="I630" s="5"/>
      <c r="J630" s="5"/>
      <c r="K630" s="5"/>
    </row>
    <row r="631" spans="9:11" ht="13.15">
      <c r="I631" s="5"/>
      <c r="J631" s="5"/>
      <c r="K631" s="5"/>
    </row>
    <row r="632" spans="9:11" ht="13.15">
      <c r="I632" s="5"/>
      <c r="J632" s="5"/>
      <c r="K632" s="5"/>
    </row>
    <row r="633" spans="9:11" ht="13.15">
      <c r="I633" s="5"/>
      <c r="J633" s="5"/>
      <c r="K633" s="5"/>
    </row>
    <row r="634" spans="9:11" ht="13.15">
      <c r="I634" s="5"/>
      <c r="J634" s="5"/>
      <c r="K634" s="5"/>
    </row>
    <row r="635" spans="9:11" ht="13.15">
      <c r="I635" s="5"/>
      <c r="J635" s="5"/>
      <c r="K635" s="5"/>
    </row>
    <row r="636" spans="9:11" ht="13.15">
      <c r="I636" s="5"/>
      <c r="J636" s="5"/>
      <c r="K636" s="5"/>
    </row>
    <row r="637" spans="9:11" ht="13.15">
      <c r="I637" s="5"/>
      <c r="J637" s="5"/>
      <c r="K637" s="5"/>
    </row>
    <row r="638" spans="9:11" ht="13.15">
      <c r="I638" s="5"/>
      <c r="J638" s="5"/>
      <c r="K638" s="5"/>
    </row>
    <row r="639" spans="9:11" ht="13.15">
      <c r="I639" s="5"/>
      <c r="J639" s="5"/>
      <c r="K639" s="5"/>
    </row>
    <row r="640" spans="9:11" ht="13.15">
      <c r="I640" s="5"/>
      <c r="J640" s="5"/>
      <c r="K640" s="5"/>
    </row>
    <row r="641" spans="9:11" ht="13.15">
      <c r="I641" s="5"/>
      <c r="J641" s="5"/>
      <c r="K641" s="5"/>
    </row>
    <row r="642" spans="9:11" ht="13.15">
      <c r="I642" s="5"/>
      <c r="J642" s="5"/>
      <c r="K642" s="5"/>
    </row>
    <row r="643" spans="9:11" ht="13.15">
      <c r="I643" s="5"/>
      <c r="J643" s="5"/>
      <c r="K643" s="5"/>
    </row>
    <row r="644" spans="9:11" ht="13.15">
      <c r="I644" s="5"/>
      <c r="J644" s="5"/>
      <c r="K644" s="5"/>
    </row>
    <row r="645" spans="9:11" ht="13.15">
      <c r="I645" s="5"/>
      <c r="J645" s="5"/>
      <c r="K645" s="5"/>
    </row>
    <row r="646" spans="9:11" ht="13.15">
      <c r="I646" s="5"/>
      <c r="J646" s="5"/>
      <c r="K646" s="5"/>
    </row>
    <row r="647" spans="9:11" ht="13.15">
      <c r="I647" s="5"/>
      <c r="J647" s="5"/>
      <c r="K647" s="5"/>
    </row>
    <row r="648" spans="9:11" ht="13.15">
      <c r="I648" s="5"/>
      <c r="J648" s="5"/>
      <c r="K648" s="5"/>
    </row>
    <row r="649" spans="9:11" ht="13.15">
      <c r="I649" s="5"/>
      <c r="J649" s="5"/>
      <c r="K649" s="5"/>
    </row>
    <row r="650" spans="9:11" ht="13.15">
      <c r="I650" s="5"/>
      <c r="J650" s="5"/>
      <c r="K650" s="5"/>
    </row>
    <row r="651" spans="9:11" ht="13.15">
      <c r="I651" s="5"/>
      <c r="J651" s="5"/>
      <c r="K651" s="5"/>
    </row>
    <row r="652" spans="9:11" ht="13.15">
      <c r="I652" s="5"/>
      <c r="J652" s="5"/>
      <c r="K652" s="5"/>
    </row>
    <row r="653" spans="9:11" ht="13.15">
      <c r="I653" s="5"/>
      <c r="J653" s="5"/>
      <c r="K653" s="5"/>
    </row>
    <row r="654" spans="9:11" ht="13.15">
      <c r="I654" s="5"/>
      <c r="J654" s="5"/>
      <c r="K654" s="5"/>
    </row>
    <row r="655" spans="9:11" ht="13.15">
      <c r="I655" s="5"/>
      <c r="J655" s="5"/>
      <c r="K655" s="5"/>
    </row>
    <row r="656" spans="9:11" ht="13.15">
      <c r="I656" s="5"/>
      <c r="J656" s="5"/>
      <c r="K656" s="5"/>
    </row>
    <row r="657" spans="9:11" ht="13.15">
      <c r="I657" s="5"/>
      <c r="J657" s="5"/>
      <c r="K657" s="5"/>
    </row>
    <row r="658" spans="9:11" ht="13.15">
      <c r="I658" s="5"/>
      <c r="J658" s="5"/>
      <c r="K658" s="5"/>
    </row>
    <row r="659" spans="9:11" ht="13.15">
      <c r="I659" s="5"/>
      <c r="J659" s="5"/>
      <c r="K659" s="5"/>
    </row>
    <row r="660" spans="9:11" ht="13.15">
      <c r="I660" s="5"/>
      <c r="J660" s="5"/>
      <c r="K660" s="5"/>
    </row>
    <row r="661" spans="9:11" ht="13.15">
      <c r="I661" s="5"/>
      <c r="J661" s="5"/>
      <c r="K661" s="5"/>
    </row>
    <row r="662" spans="9:11" ht="13.15">
      <c r="I662" s="5"/>
      <c r="J662" s="5"/>
      <c r="K662" s="5"/>
    </row>
    <row r="663" spans="9:11" ht="13.15">
      <c r="I663" s="5"/>
      <c r="J663" s="5"/>
      <c r="K663" s="5"/>
    </row>
    <row r="664" spans="9:11" ht="13.15">
      <c r="I664" s="5"/>
      <c r="J664" s="5"/>
      <c r="K664" s="5"/>
    </row>
    <row r="665" spans="9:11" ht="13.15">
      <c r="I665" s="5"/>
      <c r="J665" s="5"/>
      <c r="K665" s="5"/>
    </row>
    <row r="666" spans="9:11" ht="13.15">
      <c r="I666" s="5"/>
      <c r="J666" s="5"/>
      <c r="K666" s="5"/>
    </row>
    <row r="667" spans="9:11" ht="13.15">
      <c r="I667" s="5"/>
      <c r="J667" s="5"/>
      <c r="K667" s="5"/>
    </row>
    <row r="668" spans="9:11" ht="13.15">
      <c r="I668" s="5"/>
      <c r="J668" s="5"/>
      <c r="K668" s="5"/>
    </row>
    <row r="669" spans="9:11" ht="13.15">
      <c r="I669" s="5"/>
      <c r="J669" s="5"/>
      <c r="K669" s="5"/>
    </row>
    <row r="670" spans="9:11" ht="13.15">
      <c r="I670" s="5"/>
      <c r="J670" s="5"/>
      <c r="K670" s="5"/>
    </row>
    <row r="671" spans="9:11" ht="13.15">
      <c r="I671" s="5"/>
      <c r="J671" s="5"/>
      <c r="K671" s="5"/>
    </row>
    <row r="672" spans="9:11" ht="13.15">
      <c r="I672" s="5"/>
      <c r="J672" s="5"/>
      <c r="K672" s="5"/>
    </row>
    <row r="673" spans="9:11" ht="13.15">
      <c r="I673" s="5"/>
      <c r="J673" s="5"/>
      <c r="K673" s="5"/>
    </row>
    <row r="674" spans="9:11" ht="13.15">
      <c r="I674" s="5"/>
      <c r="J674" s="5"/>
      <c r="K674" s="5"/>
    </row>
    <row r="675" spans="9:11" ht="13.15">
      <c r="I675" s="5"/>
      <c r="J675" s="5"/>
      <c r="K675" s="5"/>
    </row>
    <row r="676" spans="9:11" ht="13.15">
      <c r="I676" s="5"/>
      <c r="J676" s="5"/>
      <c r="K676" s="5"/>
    </row>
    <row r="677" spans="9:11" ht="13.15">
      <c r="I677" s="5"/>
      <c r="J677" s="5"/>
      <c r="K677" s="5"/>
    </row>
    <row r="678" spans="9:11" ht="13.15">
      <c r="I678" s="5"/>
      <c r="J678" s="5"/>
      <c r="K678" s="5"/>
    </row>
    <row r="679" spans="9:11" ht="13.15">
      <c r="I679" s="5"/>
      <c r="J679" s="5"/>
      <c r="K679" s="5"/>
    </row>
    <row r="680" spans="9:11" ht="13.15">
      <c r="I680" s="5"/>
      <c r="J680" s="5"/>
      <c r="K680" s="5"/>
    </row>
    <row r="681" spans="9:11" ht="13.15">
      <c r="I681" s="5"/>
      <c r="J681" s="5"/>
      <c r="K681" s="5"/>
    </row>
    <row r="682" spans="9:11" ht="13.15">
      <c r="I682" s="5"/>
      <c r="J682" s="5"/>
      <c r="K682" s="5"/>
    </row>
    <row r="683" spans="9:11" ht="13.15">
      <c r="I683" s="5"/>
      <c r="J683" s="5"/>
      <c r="K683" s="5"/>
    </row>
    <row r="684" spans="9:11" ht="13.15">
      <c r="I684" s="5"/>
      <c r="J684" s="5"/>
      <c r="K684" s="5"/>
    </row>
    <row r="685" spans="9:11" ht="13.15">
      <c r="I685" s="5"/>
      <c r="J685" s="5"/>
      <c r="K685" s="5"/>
    </row>
    <row r="686" spans="9:11" ht="13.15">
      <c r="I686" s="5"/>
      <c r="J686" s="5"/>
      <c r="K686" s="5"/>
    </row>
    <row r="687" spans="9:11" ht="13.15">
      <c r="I687" s="5"/>
      <c r="J687" s="5"/>
      <c r="K687" s="5"/>
    </row>
    <row r="688" spans="9:11" ht="13.15">
      <c r="I688" s="5"/>
      <c r="J688" s="5"/>
      <c r="K688" s="5"/>
    </row>
    <row r="689" spans="9:11" ht="13.15">
      <c r="I689" s="5"/>
      <c r="J689" s="5"/>
      <c r="K689" s="5"/>
    </row>
    <row r="690" spans="9:11" ht="13.15">
      <c r="I690" s="5"/>
      <c r="J690" s="5"/>
      <c r="K690" s="5"/>
    </row>
    <row r="691" spans="9:11" ht="13.15">
      <c r="I691" s="5"/>
      <c r="J691" s="5"/>
      <c r="K691" s="5"/>
    </row>
    <row r="692" spans="9:11" ht="13.15">
      <c r="I692" s="5"/>
      <c r="J692" s="5"/>
      <c r="K692" s="5"/>
    </row>
    <row r="693" spans="9:11" ht="13.15">
      <c r="I693" s="5"/>
      <c r="J693" s="5"/>
      <c r="K693" s="5"/>
    </row>
    <row r="694" spans="9:11" ht="13.15">
      <c r="I694" s="5"/>
      <c r="J694" s="5"/>
      <c r="K694" s="5"/>
    </row>
    <row r="695" spans="9:11" ht="13.15">
      <c r="I695" s="5"/>
      <c r="J695" s="5"/>
      <c r="K695" s="5"/>
    </row>
    <row r="696" spans="9:11" ht="13.15">
      <c r="I696" s="5"/>
      <c r="J696" s="5"/>
      <c r="K696" s="5"/>
    </row>
    <row r="697" spans="9:11" ht="13.15">
      <c r="I697" s="5"/>
      <c r="J697" s="5"/>
      <c r="K697" s="5"/>
    </row>
    <row r="698" spans="9:11" ht="13.15">
      <c r="I698" s="5"/>
      <c r="J698" s="5"/>
      <c r="K698" s="5"/>
    </row>
    <row r="699" spans="9:11" ht="13.15">
      <c r="I699" s="5"/>
      <c r="J699" s="5"/>
      <c r="K699" s="5"/>
    </row>
    <row r="700" spans="9:11" ht="13.15">
      <c r="I700" s="5"/>
      <c r="J700" s="5"/>
      <c r="K700" s="5"/>
    </row>
    <row r="701" spans="9:11" ht="13.15">
      <c r="I701" s="5"/>
      <c r="J701" s="5"/>
      <c r="K701" s="5"/>
    </row>
    <row r="702" spans="9:11" ht="13.15">
      <c r="I702" s="5"/>
      <c r="J702" s="5"/>
      <c r="K702" s="5"/>
    </row>
    <row r="703" spans="9:11" ht="13.15">
      <c r="I703" s="5"/>
      <c r="J703" s="5"/>
      <c r="K703" s="5"/>
    </row>
    <row r="704" spans="9:11" ht="13.15">
      <c r="I704" s="5"/>
      <c r="J704" s="5"/>
      <c r="K704" s="5"/>
    </row>
    <row r="705" spans="9:11" ht="13.15">
      <c r="I705" s="5"/>
      <c r="J705" s="5"/>
      <c r="K705" s="5"/>
    </row>
    <row r="706" spans="9:11" ht="13.15">
      <c r="I706" s="5"/>
      <c r="J706" s="5"/>
      <c r="K706" s="5"/>
    </row>
    <row r="707" spans="9:11" ht="13.15">
      <c r="I707" s="5"/>
      <c r="J707" s="5"/>
      <c r="K707" s="5"/>
    </row>
    <row r="708" spans="9:11" ht="13.15">
      <c r="I708" s="5"/>
      <c r="J708" s="5"/>
      <c r="K708" s="5"/>
    </row>
    <row r="709" spans="9:11" ht="13.15">
      <c r="I709" s="5"/>
      <c r="J709" s="5"/>
      <c r="K709" s="5"/>
    </row>
    <row r="710" spans="9:11" ht="13.15">
      <c r="I710" s="5"/>
      <c r="J710" s="5"/>
      <c r="K710" s="5"/>
    </row>
    <row r="711" spans="9:11" ht="13.15">
      <c r="I711" s="5"/>
      <c r="J711" s="5"/>
      <c r="K711" s="5"/>
    </row>
    <row r="712" spans="9:11" ht="13.15">
      <c r="I712" s="5"/>
      <c r="J712" s="5"/>
      <c r="K712" s="5"/>
    </row>
    <row r="713" spans="9:11" ht="13.15">
      <c r="I713" s="5"/>
      <c r="J713" s="5"/>
      <c r="K713" s="5"/>
    </row>
    <row r="714" spans="9:11" ht="13.15">
      <c r="I714" s="5"/>
      <c r="J714" s="5"/>
      <c r="K714" s="5"/>
    </row>
    <row r="715" spans="9:11" ht="13.15">
      <c r="I715" s="5"/>
      <c r="J715" s="5"/>
      <c r="K715" s="5"/>
    </row>
    <row r="716" spans="9:11" ht="13.15">
      <c r="I716" s="5"/>
      <c r="J716" s="5"/>
      <c r="K716" s="5"/>
    </row>
    <row r="717" spans="9:11" ht="13.15">
      <c r="I717" s="5"/>
      <c r="J717" s="5"/>
      <c r="K717" s="5"/>
    </row>
    <row r="718" spans="9:11" ht="13.15">
      <c r="I718" s="5"/>
      <c r="J718" s="5"/>
      <c r="K718" s="5"/>
    </row>
    <row r="719" spans="9:11" ht="13.15">
      <c r="I719" s="5"/>
      <c r="J719" s="5"/>
      <c r="K719" s="5"/>
    </row>
    <row r="720" spans="9:11" ht="13.15">
      <c r="I720" s="5"/>
      <c r="J720" s="5"/>
      <c r="K720" s="5"/>
    </row>
    <row r="721" spans="9:11" ht="13.15">
      <c r="I721" s="5"/>
      <c r="J721" s="5"/>
      <c r="K721" s="5"/>
    </row>
    <row r="722" spans="9:11" ht="13.15">
      <c r="I722" s="5"/>
      <c r="J722" s="5"/>
      <c r="K722" s="5"/>
    </row>
    <row r="723" spans="9:11" ht="13.15">
      <c r="I723" s="5"/>
      <c r="J723" s="5"/>
      <c r="K723" s="5"/>
    </row>
    <row r="724" spans="9:11" ht="13.15">
      <c r="I724" s="5"/>
      <c r="J724" s="5"/>
      <c r="K724" s="5"/>
    </row>
    <row r="725" spans="9:11" ht="13.15">
      <c r="I725" s="5"/>
      <c r="J725" s="5"/>
      <c r="K725" s="5"/>
    </row>
    <row r="726" spans="9:11" ht="13.15">
      <c r="I726" s="5"/>
      <c r="J726" s="5"/>
      <c r="K726" s="5"/>
    </row>
    <row r="727" spans="9:11" ht="13.15">
      <c r="I727" s="5"/>
      <c r="J727" s="5"/>
      <c r="K727" s="5"/>
    </row>
    <row r="728" spans="9:11" ht="13.15">
      <c r="I728" s="5"/>
      <c r="J728" s="5"/>
      <c r="K728" s="5"/>
    </row>
    <row r="729" spans="9:11" ht="13.15">
      <c r="I729" s="5"/>
      <c r="J729" s="5"/>
      <c r="K729" s="5"/>
    </row>
    <row r="730" spans="9:11" ht="13.15">
      <c r="I730" s="5"/>
      <c r="J730" s="5"/>
      <c r="K730" s="5"/>
    </row>
    <row r="731" spans="9:11" ht="13.15">
      <c r="I731" s="5"/>
      <c r="J731" s="5"/>
      <c r="K731" s="5"/>
    </row>
    <row r="732" spans="9:11" ht="13.15">
      <c r="I732" s="5"/>
      <c r="J732" s="5"/>
      <c r="K732" s="5"/>
    </row>
    <row r="733" spans="9:11" ht="13.15">
      <c r="I733" s="5"/>
      <c r="J733" s="5"/>
      <c r="K733" s="5"/>
    </row>
    <row r="734" spans="9:11" ht="13.15">
      <c r="I734" s="5"/>
      <c r="J734" s="5"/>
      <c r="K734" s="5"/>
    </row>
    <row r="735" spans="9:11" ht="13.15">
      <c r="I735" s="5"/>
      <c r="J735" s="5"/>
      <c r="K735" s="5"/>
    </row>
    <row r="736" spans="9:11" ht="13.15">
      <c r="I736" s="5"/>
      <c r="J736" s="5"/>
      <c r="K736" s="5"/>
    </row>
    <row r="737" spans="9:11" ht="13.15">
      <c r="I737" s="5"/>
      <c r="J737" s="5"/>
      <c r="K737" s="5"/>
    </row>
    <row r="738" spans="9:11" ht="13.15">
      <c r="I738" s="5"/>
      <c r="J738" s="5"/>
      <c r="K738" s="5"/>
    </row>
    <row r="739" spans="9:11" ht="13.15">
      <c r="I739" s="5"/>
      <c r="J739" s="5"/>
      <c r="K739" s="5"/>
    </row>
    <row r="740" spans="9:11" ht="13.15">
      <c r="I740" s="5"/>
      <c r="J740" s="5"/>
      <c r="K740" s="5"/>
    </row>
    <row r="741" spans="9:11" ht="13.15">
      <c r="I741" s="5"/>
      <c r="J741" s="5"/>
      <c r="K741" s="5"/>
    </row>
    <row r="742" spans="9:11" ht="13.15">
      <c r="I742" s="5"/>
      <c r="J742" s="5"/>
      <c r="K742" s="5"/>
    </row>
    <row r="743" spans="9:11" ht="13.15">
      <c r="I743" s="5"/>
      <c r="J743" s="5"/>
      <c r="K743" s="5"/>
    </row>
    <row r="744" spans="9:11" ht="13.15">
      <c r="I744" s="5"/>
      <c r="J744" s="5"/>
      <c r="K744" s="5"/>
    </row>
    <row r="745" spans="9:11" ht="13.15">
      <c r="I745" s="5"/>
      <c r="J745" s="5"/>
      <c r="K745" s="5"/>
    </row>
    <row r="746" spans="9:11" ht="13.15">
      <c r="I746" s="5"/>
      <c r="J746" s="5"/>
      <c r="K746" s="5"/>
    </row>
    <row r="747" spans="9:11" ht="13.15">
      <c r="I747" s="5"/>
      <c r="J747" s="5"/>
      <c r="K747" s="5"/>
    </row>
    <row r="748" spans="9:11" ht="13.15">
      <c r="I748" s="5"/>
      <c r="J748" s="5"/>
      <c r="K748" s="5"/>
    </row>
    <row r="749" spans="9:11" ht="13.15">
      <c r="I749" s="5"/>
      <c r="J749" s="5"/>
      <c r="K749" s="5"/>
    </row>
    <row r="750" spans="9:11" ht="13.15">
      <c r="I750" s="5"/>
      <c r="J750" s="5"/>
      <c r="K750" s="5"/>
    </row>
    <row r="751" spans="9:11" ht="13.15">
      <c r="I751" s="5"/>
      <c r="J751" s="5"/>
      <c r="K751" s="5"/>
    </row>
    <row r="752" spans="9:11" ht="13.15">
      <c r="I752" s="5"/>
      <c r="J752" s="5"/>
      <c r="K752" s="5"/>
    </row>
    <row r="753" spans="9:11" ht="13.15">
      <c r="I753" s="5"/>
      <c r="J753" s="5"/>
      <c r="K753" s="5"/>
    </row>
    <row r="754" spans="9:11" ht="13.15">
      <c r="I754" s="5"/>
      <c r="J754" s="5"/>
      <c r="K754" s="5"/>
    </row>
    <row r="755" spans="9:11" ht="13.15">
      <c r="I755" s="5"/>
      <c r="J755" s="5"/>
      <c r="K755" s="5"/>
    </row>
    <row r="756" spans="9:11" ht="13.15">
      <c r="I756" s="5"/>
      <c r="J756" s="5"/>
      <c r="K756" s="5"/>
    </row>
    <row r="757" spans="9:11" ht="13.15">
      <c r="I757" s="5"/>
      <c r="J757" s="5"/>
      <c r="K757" s="5"/>
    </row>
    <row r="758" spans="9:11" ht="13.15">
      <c r="I758" s="5"/>
      <c r="J758" s="5"/>
      <c r="K758" s="5"/>
    </row>
    <row r="759" spans="9:11" ht="13.15">
      <c r="I759" s="5"/>
      <c r="J759" s="5"/>
      <c r="K759" s="5"/>
    </row>
    <row r="760" spans="9:11" ht="13.15">
      <c r="I760" s="5"/>
      <c r="J760" s="5"/>
      <c r="K760" s="5"/>
    </row>
    <row r="761" spans="9:11" ht="13.15">
      <c r="I761" s="5"/>
      <c r="J761" s="5"/>
      <c r="K761" s="5"/>
    </row>
    <row r="762" spans="9:11" ht="13.15">
      <c r="I762" s="5"/>
      <c r="J762" s="5"/>
      <c r="K762" s="5"/>
    </row>
    <row r="763" spans="9:11" ht="13.15">
      <c r="I763" s="5"/>
      <c r="J763" s="5"/>
      <c r="K763" s="5"/>
    </row>
    <row r="764" spans="9:11" ht="13.15">
      <c r="I764" s="5"/>
      <c r="J764" s="5"/>
      <c r="K764" s="5"/>
    </row>
    <row r="765" spans="9:11" ht="13.15">
      <c r="I765" s="5"/>
      <c r="J765" s="5"/>
      <c r="K765" s="5"/>
    </row>
    <row r="766" spans="9:11" ht="13.15">
      <c r="I766" s="5"/>
      <c r="J766" s="5"/>
      <c r="K766" s="5"/>
    </row>
    <row r="767" spans="9:11" ht="13.15">
      <c r="I767" s="5"/>
      <c r="J767" s="5"/>
      <c r="K767" s="5"/>
    </row>
    <row r="768" spans="9:11" ht="13.15">
      <c r="I768" s="5"/>
      <c r="J768" s="5"/>
      <c r="K768" s="5"/>
    </row>
    <row r="769" spans="9:11" ht="13.15">
      <c r="I769" s="5"/>
      <c r="J769" s="5"/>
      <c r="K769" s="5"/>
    </row>
    <row r="770" spans="9:11" ht="13.15">
      <c r="I770" s="5"/>
      <c r="J770" s="5"/>
      <c r="K770" s="5"/>
    </row>
    <row r="771" spans="9:11" ht="13.15">
      <c r="I771" s="5"/>
      <c r="J771" s="5"/>
      <c r="K771" s="5"/>
    </row>
    <row r="772" spans="9:11" ht="13.15">
      <c r="I772" s="5"/>
      <c r="J772" s="5"/>
      <c r="K772" s="5"/>
    </row>
    <row r="773" spans="9:11" ht="13.15">
      <c r="I773" s="5"/>
      <c r="J773" s="5"/>
      <c r="K773" s="5"/>
    </row>
    <row r="774" spans="9:11" ht="13.15">
      <c r="I774" s="5"/>
      <c r="J774" s="5"/>
      <c r="K774" s="5"/>
    </row>
    <row r="775" spans="9:11" ht="13.15">
      <c r="I775" s="5"/>
      <c r="J775" s="5"/>
      <c r="K775" s="5"/>
    </row>
    <row r="776" spans="9:11" ht="13.15">
      <c r="I776" s="5"/>
      <c r="J776" s="5"/>
      <c r="K776" s="5"/>
    </row>
    <row r="777" spans="9:11" ht="13.15">
      <c r="I777" s="5"/>
      <c r="J777" s="5"/>
      <c r="K777" s="5"/>
    </row>
    <row r="778" spans="9:11" ht="13.15">
      <c r="I778" s="5"/>
      <c r="J778" s="5"/>
      <c r="K778" s="5"/>
    </row>
    <row r="779" spans="9:11" ht="13.15">
      <c r="I779" s="5"/>
      <c r="J779" s="5"/>
      <c r="K779" s="5"/>
    </row>
    <row r="780" spans="9:11" ht="13.15">
      <c r="I780" s="5"/>
      <c r="J780" s="5"/>
      <c r="K780" s="5"/>
    </row>
    <row r="781" spans="9:11" ht="13.15">
      <c r="I781" s="5"/>
      <c r="J781" s="5"/>
      <c r="K781" s="5"/>
    </row>
    <row r="782" spans="9:11" ht="13.15">
      <c r="I782" s="5"/>
      <c r="J782" s="5"/>
      <c r="K782" s="5"/>
    </row>
    <row r="783" spans="9:11" ht="13.15">
      <c r="I783" s="5"/>
      <c r="J783" s="5"/>
      <c r="K783" s="5"/>
    </row>
    <row r="784" spans="9:11" ht="13.15">
      <c r="I784" s="5"/>
      <c r="J784" s="5"/>
      <c r="K784" s="5"/>
    </row>
    <row r="785" spans="9:11" ht="13.15">
      <c r="I785" s="5"/>
      <c r="J785" s="5"/>
      <c r="K785" s="5"/>
    </row>
    <row r="786" spans="9:11" ht="13.15">
      <c r="I786" s="5"/>
      <c r="J786" s="5"/>
      <c r="K786" s="5"/>
    </row>
    <row r="787" spans="9:11" ht="13.15">
      <c r="I787" s="5"/>
      <c r="J787" s="5"/>
      <c r="K787" s="5"/>
    </row>
    <row r="788" spans="9:11" ht="13.15">
      <c r="I788" s="5"/>
      <c r="J788" s="5"/>
      <c r="K788" s="5"/>
    </row>
    <row r="789" spans="9:11" ht="13.15">
      <c r="I789" s="5"/>
      <c r="J789" s="5"/>
      <c r="K789" s="5"/>
    </row>
    <row r="790" spans="9:11" ht="13.15">
      <c r="I790" s="5"/>
      <c r="J790" s="5"/>
      <c r="K790" s="5"/>
    </row>
    <row r="791" spans="9:11" ht="13.15">
      <c r="I791" s="5"/>
      <c r="J791" s="5"/>
      <c r="K791" s="5"/>
    </row>
    <row r="792" spans="9:11" ht="13.15">
      <c r="I792" s="5"/>
      <c r="J792" s="5"/>
      <c r="K792" s="5"/>
    </row>
    <row r="793" spans="9:11" ht="13.15">
      <c r="I793" s="5"/>
      <c r="J793" s="5"/>
      <c r="K793" s="5"/>
    </row>
    <row r="794" spans="9:11" ht="13.15">
      <c r="I794" s="5"/>
      <c r="J794" s="5"/>
      <c r="K794" s="5"/>
    </row>
    <row r="795" spans="9:11" ht="13.15">
      <c r="I795" s="5"/>
      <c r="J795" s="5"/>
      <c r="K795" s="5"/>
    </row>
    <row r="796" spans="9:11" ht="13.15">
      <c r="I796" s="5"/>
      <c r="J796" s="5"/>
      <c r="K796" s="5"/>
    </row>
    <row r="797" spans="9:11" ht="13.15">
      <c r="I797" s="5"/>
      <c r="J797" s="5"/>
      <c r="K797" s="5"/>
    </row>
    <row r="798" spans="9:11" ht="13.15">
      <c r="I798" s="5"/>
      <c r="J798" s="5"/>
      <c r="K798" s="5"/>
    </row>
    <row r="799" spans="9:11" ht="13.15">
      <c r="I799" s="5"/>
      <c r="J799" s="5"/>
      <c r="K799" s="5"/>
    </row>
    <row r="800" spans="9:11" ht="13.15">
      <c r="I800" s="5"/>
      <c r="J800" s="5"/>
      <c r="K800" s="5"/>
    </row>
    <row r="801" spans="9:11" ht="13.15">
      <c r="I801" s="5"/>
      <c r="J801" s="5"/>
      <c r="K801" s="5"/>
    </row>
    <row r="802" spans="9:11" ht="13.15">
      <c r="I802" s="5"/>
      <c r="J802" s="5"/>
      <c r="K802" s="5"/>
    </row>
    <row r="803" spans="9:11" ht="13.15">
      <c r="I803" s="5"/>
      <c r="J803" s="5"/>
      <c r="K803" s="5"/>
    </row>
    <row r="804" spans="9:11" ht="13.15">
      <c r="I804" s="5"/>
      <c r="J804" s="5"/>
      <c r="K804" s="5"/>
    </row>
    <row r="805" spans="9:11" ht="13.15">
      <c r="I805" s="5"/>
      <c r="J805" s="5"/>
      <c r="K805" s="5"/>
    </row>
    <row r="806" spans="9:11" ht="13.15">
      <c r="I806" s="5"/>
      <c r="J806" s="5"/>
      <c r="K806" s="5"/>
    </row>
    <row r="807" spans="9:11" ht="13.15">
      <c r="I807" s="5"/>
      <c r="J807" s="5"/>
      <c r="K807" s="5"/>
    </row>
    <row r="808" spans="9:11" ht="13.15">
      <c r="I808" s="5"/>
      <c r="J808" s="5"/>
      <c r="K808" s="5"/>
    </row>
    <row r="809" spans="9:11" ht="13.15">
      <c r="I809" s="5"/>
      <c r="J809" s="5"/>
      <c r="K809" s="5"/>
    </row>
    <row r="810" spans="9:11" ht="13.15">
      <c r="I810" s="5"/>
      <c r="J810" s="5"/>
      <c r="K810" s="5"/>
    </row>
    <row r="811" spans="9:11" ht="13.15">
      <c r="I811" s="5"/>
      <c r="J811" s="5"/>
      <c r="K811" s="5"/>
    </row>
    <row r="812" spans="9:11" ht="13.15">
      <c r="I812" s="5"/>
      <c r="J812" s="5"/>
      <c r="K812" s="5"/>
    </row>
    <row r="813" spans="9:11" ht="13.15">
      <c r="I813" s="5"/>
      <c r="J813" s="5"/>
      <c r="K813" s="5"/>
    </row>
    <row r="814" spans="9:11" ht="13.15">
      <c r="I814" s="5"/>
      <c r="J814" s="5"/>
      <c r="K814" s="5"/>
    </row>
    <row r="815" spans="9:11" ht="13.15">
      <c r="I815" s="5"/>
      <c r="J815" s="5"/>
      <c r="K815" s="5"/>
    </row>
    <row r="816" spans="9:11" ht="13.15">
      <c r="I816" s="5"/>
      <c r="J816" s="5"/>
      <c r="K816" s="5"/>
    </row>
    <row r="817" spans="9:11" ht="13.15">
      <c r="I817" s="5"/>
      <c r="J817" s="5"/>
      <c r="K817" s="5"/>
    </row>
    <row r="818" spans="9:11" ht="13.15">
      <c r="I818" s="5"/>
      <c r="J818" s="5"/>
      <c r="K818" s="5"/>
    </row>
    <row r="819" spans="9:11" ht="13.15">
      <c r="I819" s="5"/>
      <c r="J819" s="5"/>
      <c r="K819" s="5"/>
    </row>
    <row r="820" spans="9:11" ht="13.15">
      <c r="I820" s="5"/>
      <c r="J820" s="5"/>
      <c r="K820" s="5"/>
    </row>
    <row r="821" spans="9:11" ht="13.15">
      <c r="I821" s="5"/>
      <c r="J821" s="5"/>
      <c r="K821" s="5"/>
    </row>
    <row r="822" spans="9:11" ht="13.15">
      <c r="I822" s="5"/>
      <c r="J822" s="5"/>
      <c r="K822" s="5"/>
    </row>
    <row r="823" spans="9:11" ht="13.15">
      <c r="I823" s="5"/>
      <c r="J823" s="5"/>
      <c r="K823" s="5"/>
    </row>
    <row r="824" spans="9:11" ht="13.15">
      <c r="I824" s="5"/>
      <c r="J824" s="5"/>
      <c r="K824" s="5"/>
    </row>
    <row r="825" spans="9:11" ht="13.15">
      <c r="I825" s="5"/>
      <c r="J825" s="5"/>
      <c r="K825" s="5"/>
    </row>
    <row r="826" spans="9:11" ht="13.15">
      <c r="I826" s="5"/>
      <c r="J826" s="5"/>
      <c r="K826" s="5"/>
    </row>
    <row r="827" spans="9:11" ht="13.15">
      <c r="I827" s="5"/>
      <c r="J827" s="5"/>
      <c r="K827" s="5"/>
    </row>
    <row r="828" spans="9:11" ht="13.15">
      <c r="I828" s="5"/>
      <c r="J828" s="5"/>
      <c r="K828" s="5"/>
    </row>
    <row r="829" spans="9:11" ht="13.15">
      <c r="I829" s="5"/>
      <c r="J829" s="5"/>
      <c r="K829" s="5"/>
    </row>
    <row r="830" spans="9:11" ht="13.15">
      <c r="I830" s="5"/>
      <c r="J830" s="5"/>
      <c r="K830" s="5"/>
    </row>
    <row r="831" spans="9:11" ht="13.15">
      <c r="I831" s="5"/>
      <c r="J831" s="5"/>
      <c r="K831" s="5"/>
    </row>
    <row r="832" spans="9:11" ht="13.15">
      <c r="I832" s="5"/>
      <c r="J832" s="5"/>
      <c r="K832" s="5"/>
    </row>
    <row r="833" spans="9:11" ht="13.15">
      <c r="I833" s="5"/>
      <c r="J833" s="5"/>
      <c r="K833" s="5"/>
    </row>
    <row r="834" spans="9:11" ht="13.15">
      <c r="I834" s="5"/>
      <c r="J834" s="5"/>
      <c r="K834" s="5"/>
    </row>
    <row r="835" spans="9:11" ht="13.15">
      <c r="I835" s="5"/>
      <c r="J835" s="5"/>
      <c r="K835" s="5"/>
    </row>
    <row r="836" spans="9:11" ht="13.15">
      <c r="I836" s="5"/>
      <c r="J836" s="5"/>
      <c r="K836" s="5"/>
    </row>
    <row r="837" spans="9:11" ht="13.15">
      <c r="I837" s="5"/>
      <c r="J837" s="5"/>
      <c r="K837" s="5"/>
    </row>
    <row r="838" spans="9:11" ht="13.15">
      <c r="I838" s="5"/>
      <c r="J838" s="5"/>
      <c r="K838" s="5"/>
    </row>
    <row r="839" spans="9:11" ht="13.15">
      <c r="I839" s="5"/>
      <c r="J839" s="5"/>
      <c r="K839" s="5"/>
    </row>
    <row r="840" spans="9:11" ht="13.15">
      <c r="I840" s="5"/>
      <c r="J840" s="5"/>
      <c r="K840" s="5"/>
    </row>
    <row r="841" spans="9:11" ht="13.15">
      <c r="I841" s="5"/>
      <c r="J841" s="5"/>
      <c r="K841" s="5"/>
    </row>
    <row r="842" spans="9:11" ht="13.15">
      <c r="I842" s="5"/>
      <c r="J842" s="5"/>
      <c r="K842" s="5"/>
    </row>
    <row r="843" spans="9:11" ht="13.15">
      <c r="I843" s="5"/>
      <c r="J843" s="5"/>
      <c r="K843" s="5"/>
    </row>
    <row r="844" spans="9:11" ht="13.15">
      <c r="I844" s="5"/>
      <c r="J844" s="5"/>
      <c r="K844" s="5"/>
    </row>
    <row r="845" spans="9:11" ht="13.15">
      <c r="I845" s="5"/>
      <c r="J845" s="5"/>
      <c r="K845" s="5"/>
    </row>
    <row r="846" spans="9:11" ht="13.15">
      <c r="I846" s="5"/>
      <c r="J846" s="5"/>
      <c r="K846" s="5"/>
    </row>
    <row r="847" spans="9:11" ht="13.15">
      <c r="I847" s="5"/>
      <c r="J847" s="5"/>
      <c r="K847" s="5"/>
    </row>
    <row r="848" spans="9:11" ht="13.15">
      <c r="I848" s="5"/>
      <c r="J848" s="5"/>
      <c r="K848" s="5"/>
    </row>
    <row r="849" spans="9:11" ht="13.15">
      <c r="I849" s="5"/>
      <c r="J849" s="5"/>
      <c r="K849" s="5"/>
    </row>
    <row r="850" spans="9:11" ht="13.15">
      <c r="I850" s="5"/>
      <c r="J850" s="5"/>
      <c r="K850" s="5"/>
    </row>
    <row r="851" spans="9:11" ht="13.15">
      <c r="I851" s="5"/>
      <c r="J851" s="5"/>
      <c r="K851" s="5"/>
    </row>
    <row r="852" spans="9:11" ht="13.15">
      <c r="I852" s="5"/>
      <c r="J852" s="5"/>
      <c r="K852" s="5"/>
    </row>
    <row r="853" spans="9:11" ht="13.15">
      <c r="I853" s="5"/>
      <c r="J853" s="5"/>
      <c r="K853" s="5"/>
    </row>
    <row r="854" spans="9:11" ht="13.15">
      <c r="I854" s="5"/>
      <c r="J854" s="5"/>
      <c r="K854" s="5"/>
    </row>
    <row r="855" spans="9:11" ht="13.15">
      <c r="I855" s="5"/>
      <c r="J855" s="5"/>
      <c r="K855" s="5"/>
    </row>
    <row r="856" spans="9:11" ht="13.15">
      <c r="I856" s="5"/>
      <c r="J856" s="5"/>
      <c r="K856" s="5"/>
    </row>
    <row r="857" spans="9:11" ht="13.15">
      <c r="I857" s="5"/>
      <c r="J857" s="5"/>
      <c r="K857" s="5"/>
    </row>
    <row r="858" spans="9:11" ht="13.15">
      <c r="I858" s="5"/>
      <c r="J858" s="5"/>
      <c r="K858" s="5"/>
    </row>
    <row r="859" spans="9:11" ht="13.15">
      <c r="I859" s="5"/>
      <c r="J859" s="5"/>
      <c r="K859" s="5"/>
    </row>
    <row r="860" spans="9:11" ht="13.15">
      <c r="I860" s="5"/>
      <c r="J860" s="5"/>
      <c r="K860" s="5"/>
    </row>
    <row r="861" spans="9:11" ht="13.15">
      <c r="I861" s="5"/>
      <c r="J861" s="5"/>
      <c r="K861" s="5"/>
    </row>
    <row r="862" spans="9:11" ht="13.15">
      <c r="I862" s="5"/>
      <c r="J862" s="5"/>
      <c r="K862" s="5"/>
    </row>
    <row r="863" spans="9:11" ht="13.15">
      <c r="I863" s="5"/>
      <c r="J863" s="5"/>
      <c r="K863" s="5"/>
    </row>
    <row r="864" spans="9:11" ht="13.15">
      <c r="I864" s="5"/>
      <c r="J864" s="5"/>
      <c r="K864" s="5"/>
    </row>
    <row r="865" spans="9:11" ht="13.15">
      <c r="I865" s="5"/>
      <c r="J865" s="5"/>
      <c r="K865" s="5"/>
    </row>
    <row r="866" spans="9:11" ht="13.15">
      <c r="I866" s="5"/>
      <c r="J866" s="5"/>
      <c r="K866" s="5"/>
    </row>
    <row r="867" spans="9:11" ht="13.15">
      <c r="I867" s="5"/>
      <c r="J867" s="5"/>
      <c r="K867" s="5"/>
    </row>
    <row r="868" spans="9:11" ht="13.15">
      <c r="I868" s="5"/>
      <c r="J868" s="5"/>
      <c r="K868" s="5"/>
    </row>
    <row r="869" spans="9:11" ht="13.15">
      <c r="I869" s="5"/>
      <c r="J869" s="5"/>
      <c r="K869" s="5"/>
    </row>
    <row r="870" spans="9:11" ht="13.15">
      <c r="I870" s="5"/>
      <c r="J870" s="5"/>
      <c r="K870" s="5"/>
    </row>
    <row r="871" spans="9:11" ht="13.15">
      <c r="I871" s="5"/>
      <c r="J871" s="5"/>
      <c r="K871" s="5"/>
    </row>
    <row r="872" spans="9:11" ht="13.15">
      <c r="I872" s="5"/>
      <c r="J872" s="5"/>
      <c r="K872" s="5"/>
    </row>
    <row r="873" spans="9:11" ht="13.15">
      <c r="I873" s="5"/>
      <c r="J873" s="5"/>
      <c r="K873" s="5"/>
    </row>
    <row r="874" spans="9:11" ht="13.15">
      <c r="I874" s="5"/>
      <c r="J874" s="5"/>
      <c r="K874" s="5"/>
    </row>
    <row r="875" spans="9:11" ht="13.15">
      <c r="I875" s="5"/>
      <c r="J875" s="5"/>
      <c r="K875" s="5"/>
    </row>
    <row r="876" spans="9:11" ht="13.15">
      <c r="I876" s="5"/>
      <c r="J876" s="5"/>
      <c r="K876" s="5"/>
    </row>
    <row r="877" spans="9:11" ht="13.15">
      <c r="I877" s="5"/>
      <c r="J877" s="5"/>
      <c r="K877" s="5"/>
    </row>
    <row r="878" spans="9:11" ht="13.15">
      <c r="I878" s="5"/>
      <c r="J878" s="5"/>
      <c r="K878" s="5"/>
    </row>
    <row r="879" spans="9:11" ht="13.15">
      <c r="I879" s="5"/>
      <c r="J879" s="5"/>
      <c r="K879" s="5"/>
    </row>
    <row r="880" spans="9:11" ht="13.15">
      <c r="I880" s="5"/>
      <c r="J880" s="5"/>
      <c r="K880" s="5"/>
    </row>
    <row r="881" spans="9:11" ht="13.15">
      <c r="I881" s="5"/>
      <c r="J881" s="5"/>
      <c r="K881" s="5"/>
    </row>
    <row r="882" spans="9:11" ht="13.15">
      <c r="I882" s="5"/>
      <c r="J882" s="5"/>
      <c r="K882" s="5"/>
    </row>
    <row r="883" spans="9:11" ht="13.15">
      <c r="I883" s="5"/>
      <c r="J883" s="5"/>
      <c r="K883" s="5"/>
    </row>
    <row r="884" spans="9:11" ht="13.15">
      <c r="I884" s="5"/>
      <c r="J884" s="5"/>
      <c r="K884" s="5"/>
    </row>
    <row r="885" spans="9:11" ht="13.15">
      <c r="I885" s="5"/>
      <c r="J885" s="5"/>
      <c r="K885" s="5"/>
    </row>
    <row r="886" spans="9:11" ht="13.15">
      <c r="I886" s="5"/>
      <c r="J886" s="5"/>
      <c r="K886" s="5"/>
    </row>
    <row r="887" spans="9:11" ht="13.15">
      <c r="I887" s="5"/>
      <c r="J887" s="5"/>
      <c r="K887" s="5"/>
    </row>
    <row r="888" spans="9:11" ht="13.15">
      <c r="I888" s="5"/>
      <c r="J888" s="5"/>
      <c r="K888" s="5"/>
    </row>
    <row r="889" spans="9:11" ht="13.15">
      <c r="I889" s="5"/>
      <c r="J889" s="5"/>
      <c r="K889" s="5"/>
    </row>
    <row r="890" spans="9:11" ht="13.15">
      <c r="I890" s="5"/>
      <c r="J890" s="5"/>
      <c r="K890" s="5"/>
    </row>
    <row r="891" spans="9:11" ht="13.15">
      <c r="I891" s="5"/>
      <c r="J891" s="5"/>
      <c r="K891" s="5"/>
    </row>
    <row r="892" spans="9:11" ht="13.15">
      <c r="I892" s="5"/>
      <c r="J892" s="5"/>
      <c r="K892" s="5"/>
    </row>
    <row r="893" spans="9:11" ht="13.15">
      <c r="I893" s="5"/>
      <c r="J893" s="5"/>
      <c r="K893" s="5"/>
    </row>
    <row r="894" spans="9:11" ht="13.15">
      <c r="I894" s="5"/>
      <c r="J894" s="5"/>
      <c r="K894" s="5"/>
    </row>
    <row r="895" spans="9:11" ht="13.15">
      <c r="I895" s="5"/>
      <c r="J895" s="5"/>
      <c r="K895" s="5"/>
    </row>
    <row r="896" spans="9:11" ht="13.15">
      <c r="I896" s="5"/>
      <c r="J896" s="5"/>
      <c r="K896" s="5"/>
    </row>
    <row r="897" spans="9:11" ht="13.15">
      <c r="I897" s="5"/>
      <c r="J897" s="5"/>
      <c r="K897" s="5"/>
    </row>
    <row r="898" spans="9:11" ht="13.15">
      <c r="I898" s="5"/>
      <c r="J898" s="5"/>
      <c r="K898" s="5"/>
    </row>
    <row r="899" spans="9:11" ht="13.15">
      <c r="I899" s="5"/>
      <c r="J899" s="5"/>
      <c r="K899" s="5"/>
    </row>
    <row r="900" spans="9:11" ht="13.15">
      <c r="I900" s="5"/>
      <c r="J900" s="5"/>
      <c r="K900" s="5"/>
    </row>
    <row r="901" spans="9:11" ht="13.15">
      <c r="I901" s="5"/>
      <c r="J901" s="5"/>
      <c r="K901" s="5"/>
    </row>
    <row r="902" spans="9:11" ht="13.15">
      <c r="I902" s="5"/>
      <c r="J902" s="5"/>
      <c r="K902" s="5"/>
    </row>
    <row r="903" spans="9:11" ht="13.15">
      <c r="I903" s="5"/>
      <c r="J903" s="5"/>
      <c r="K903" s="5"/>
    </row>
    <row r="904" spans="9:11" ht="13.15">
      <c r="I904" s="5"/>
      <c r="J904" s="5"/>
      <c r="K904" s="5"/>
    </row>
    <row r="905" spans="9:11" ht="13.15">
      <c r="I905" s="5"/>
      <c r="J905" s="5"/>
      <c r="K905" s="5"/>
    </row>
    <row r="906" spans="9:11" ht="13.15">
      <c r="I906" s="5"/>
      <c r="J906" s="5"/>
      <c r="K906" s="5"/>
    </row>
    <row r="907" spans="9:11" ht="13.15">
      <c r="I907" s="5"/>
      <c r="J907" s="5"/>
      <c r="K907" s="5"/>
    </row>
    <row r="908" spans="9:11" ht="13.15">
      <c r="I908" s="5"/>
      <c r="J908" s="5"/>
      <c r="K908" s="5"/>
    </row>
    <row r="909" spans="9:11" ht="13.15">
      <c r="I909" s="5"/>
      <c r="J909" s="5"/>
      <c r="K909" s="5"/>
    </row>
    <row r="910" spans="9:11" ht="13.15">
      <c r="I910" s="5"/>
      <c r="J910" s="5"/>
      <c r="K910" s="5"/>
    </row>
    <row r="911" spans="9:11" ht="13.15">
      <c r="I911" s="5"/>
      <c r="J911" s="5"/>
      <c r="K911" s="5"/>
    </row>
    <row r="912" spans="9:11" ht="13.15">
      <c r="I912" s="5"/>
      <c r="J912" s="5"/>
      <c r="K912" s="5"/>
    </row>
    <row r="913" spans="9:11" ht="13.15">
      <c r="I913" s="5"/>
      <c r="J913" s="5"/>
      <c r="K913" s="5"/>
    </row>
    <row r="914" spans="9:11" ht="13.15">
      <c r="I914" s="5"/>
      <c r="J914" s="5"/>
      <c r="K914" s="5"/>
    </row>
    <row r="915" spans="9:11" ht="13.15">
      <c r="I915" s="5"/>
      <c r="J915" s="5"/>
      <c r="K915" s="5"/>
    </row>
    <row r="916" spans="9:11" ht="13.15">
      <c r="I916" s="5"/>
      <c r="J916" s="5"/>
      <c r="K916" s="5"/>
    </row>
    <row r="917" spans="9:11" ht="13.15">
      <c r="I917" s="5"/>
      <c r="J917" s="5"/>
      <c r="K917" s="5"/>
    </row>
    <row r="918" spans="9:11" ht="13.15">
      <c r="I918" s="5"/>
      <c r="J918" s="5"/>
      <c r="K918" s="5"/>
    </row>
    <row r="919" spans="9:11" ht="13.15">
      <c r="I919" s="5"/>
      <c r="J919" s="5"/>
      <c r="K919" s="5"/>
    </row>
    <row r="920" spans="9:11" ht="13.15">
      <c r="I920" s="5"/>
      <c r="J920" s="5"/>
      <c r="K920" s="5"/>
    </row>
    <row r="921" spans="9:11" ht="13.15">
      <c r="I921" s="5"/>
      <c r="J921" s="5"/>
      <c r="K921" s="5"/>
    </row>
    <row r="922" spans="9:11" ht="13.15">
      <c r="I922" s="5"/>
      <c r="J922" s="5"/>
      <c r="K922" s="5"/>
    </row>
    <row r="923" spans="9:11" ht="13.15">
      <c r="I923" s="5"/>
      <c r="J923" s="5"/>
      <c r="K923" s="5"/>
    </row>
    <row r="924" spans="9:11" ht="13.15">
      <c r="I924" s="5"/>
      <c r="J924" s="5"/>
      <c r="K924" s="5"/>
    </row>
    <row r="925" spans="9:11" ht="13.15">
      <c r="I925" s="5"/>
      <c r="J925" s="5"/>
      <c r="K925" s="5"/>
    </row>
    <row r="926" spans="9:11" ht="13.15">
      <c r="I926" s="5"/>
      <c r="J926" s="5"/>
      <c r="K926" s="5"/>
    </row>
    <row r="927" spans="9:11" ht="13.15">
      <c r="I927" s="5"/>
      <c r="J927" s="5"/>
      <c r="K927" s="5"/>
    </row>
    <row r="928" spans="9:11" ht="13.15">
      <c r="I928" s="5"/>
      <c r="J928" s="5"/>
      <c r="K928" s="5"/>
    </row>
    <row r="929" spans="9:11" ht="13.15">
      <c r="I929" s="5"/>
      <c r="J929" s="5"/>
      <c r="K929" s="5"/>
    </row>
    <row r="930" spans="9:11" ht="13.15">
      <c r="I930" s="5"/>
      <c r="J930" s="5"/>
      <c r="K930" s="5"/>
    </row>
    <row r="931" spans="9:11" ht="13.15">
      <c r="I931" s="5"/>
      <c r="J931" s="5"/>
      <c r="K931" s="5"/>
    </row>
    <row r="932" spans="9:11" ht="13.15">
      <c r="I932" s="5"/>
      <c r="J932" s="5"/>
      <c r="K932" s="5"/>
    </row>
    <row r="933" spans="9:11" ht="13.15">
      <c r="I933" s="5"/>
      <c r="J933" s="5"/>
      <c r="K933" s="5"/>
    </row>
    <row r="934" spans="9:11" ht="13.15">
      <c r="I934" s="5"/>
      <c r="J934" s="5"/>
      <c r="K934" s="5"/>
    </row>
    <row r="935" spans="9:11" ht="13.15">
      <c r="I935" s="5"/>
      <c r="J935" s="5"/>
      <c r="K935" s="5"/>
    </row>
    <row r="936" spans="9:11" ht="13.15">
      <c r="I936" s="5"/>
      <c r="J936" s="5"/>
      <c r="K936" s="5"/>
    </row>
    <row r="937" spans="9:11" ht="13.15">
      <c r="I937" s="5"/>
      <c r="J937" s="5"/>
      <c r="K937" s="5"/>
    </row>
    <row r="938" spans="9:11" ht="13.15">
      <c r="I938" s="5"/>
      <c r="J938" s="5"/>
      <c r="K938" s="5"/>
    </row>
    <row r="939" spans="9:11" ht="13.15">
      <c r="I939" s="5"/>
      <c r="J939" s="5"/>
      <c r="K939" s="5"/>
    </row>
    <row r="940" spans="9:11" ht="13.15">
      <c r="I940" s="5"/>
      <c r="J940" s="5"/>
      <c r="K940" s="5"/>
    </row>
    <row r="941" spans="9:11" ht="13.15">
      <c r="I941" s="5"/>
      <c r="J941" s="5"/>
      <c r="K941" s="5"/>
    </row>
    <row r="942" spans="9:11" ht="13.15">
      <c r="I942" s="5"/>
      <c r="J942" s="5"/>
      <c r="K942" s="5"/>
    </row>
    <row r="943" spans="9:11" ht="13.15">
      <c r="I943" s="5"/>
      <c r="J943" s="5"/>
      <c r="K943" s="5"/>
    </row>
    <row r="944" spans="9:11" ht="13.15">
      <c r="I944" s="5"/>
      <c r="J944" s="5"/>
      <c r="K944" s="5"/>
    </row>
    <row r="945" spans="9:11" ht="13.15">
      <c r="I945" s="5"/>
      <c r="J945" s="5"/>
      <c r="K945" s="5"/>
    </row>
    <row r="946" spans="9:11" ht="13.15">
      <c r="I946" s="5"/>
      <c r="J946" s="5"/>
      <c r="K946" s="5"/>
    </row>
    <row r="947" spans="9:11" ht="13.15">
      <c r="I947" s="5"/>
      <c r="J947" s="5"/>
      <c r="K947" s="5"/>
    </row>
    <row r="948" spans="9:11" ht="13.15">
      <c r="I948" s="5"/>
      <c r="J948" s="5"/>
      <c r="K948" s="5"/>
    </row>
    <row r="949" spans="9:11" ht="13.15">
      <c r="I949" s="5"/>
      <c r="J949" s="5"/>
      <c r="K949" s="5"/>
    </row>
    <row r="950" spans="9:11" ht="13.15">
      <c r="I950" s="5"/>
      <c r="J950" s="5"/>
      <c r="K950" s="5"/>
    </row>
    <row r="951" spans="9:11" ht="13.15">
      <c r="I951" s="5"/>
      <c r="J951" s="5"/>
      <c r="K951" s="5"/>
    </row>
    <row r="952" spans="9:11" ht="13.15">
      <c r="I952" s="5"/>
      <c r="J952" s="5"/>
      <c r="K952" s="5"/>
    </row>
    <row r="953" spans="9:11" ht="13.15">
      <c r="I953" s="5"/>
      <c r="J953" s="5"/>
      <c r="K953" s="5"/>
    </row>
    <row r="954" spans="9:11" ht="13.15">
      <c r="I954" s="5"/>
      <c r="J954" s="5"/>
      <c r="K954" s="5"/>
    </row>
    <row r="955" spans="9:11" ht="13.15">
      <c r="I955" s="5"/>
      <c r="J955" s="5"/>
      <c r="K955" s="5"/>
    </row>
    <row r="956" spans="9:11" ht="13.15">
      <c r="I956" s="5"/>
      <c r="J956" s="5"/>
      <c r="K956" s="5"/>
    </row>
    <row r="957" spans="9:11" ht="13.15">
      <c r="I957" s="5"/>
      <c r="J957" s="5"/>
      <c r="K957" s="5"/>
    </row>
    <row r="958" spans="9:11" ht="13.15">
      <c r="I958" s="5"/>
      <c r="J958" s="5"/>
      <c r="K958" s="5"/>
    </row>
    <row r="959" spans="9:11" ht="13.15">
      <c r="I959" s="5"/>
      <c r="J959" s="5"/>
      <c r="K959" s="5"/>
    </row>
    <row r="960" spans="9:11" ht="13.15">
      <c r="I960" s="5"/>
      <c r="J960" s="5"/>
      <c r="K960" s="5"/>
    </row>
    <row r="961" spans="9:11" ht="13.15">
      <c r="I961" s="5"/>
      <c r="J961" s="5"/>
      <c r="K961" s="5"/>
    </row>
    <row r="962" spans="9:11" ht="13.15">
      <c r="I962" s="5"/>
      <c r="J962" s="5"/>
      <c r="K962" s="5"/>
    </row>
    <row r="963" spans="9:11" ht="13.15">
      <c r="I963" s="5"/>
      <c r="J963" s="5"/>
      <c r="K963" s="5"/>
    </row>
    <row r="964" spans="9:11" ht="13.15">
      <c r="I964" s="5"/>
      <c r="J964" s="5"/>
      <c r="K964" s="5"/>
    </row>
    <row r="965" spans="9:11" ht="13.15">
      <c r="I965" s="5"/>
      <c r="J965" s="5"/>
      <c r="K965" s="5"/>
    </row>
    <row r="966" spans="9:11" ht="13.15">
      <c r="I966" s="5"/>
      <c r="J966" s="5"/>
      <c r="K966" s="5"/>
    </row>
    <row r="967" spans="9:11" ht="13.15">
      <c r="I967" s="5"/>
      <c r="J967" s="5"/>
      <c r="K967" s="5"/>
    </row>
    <row r="968" spans="9:11" ht="13.15">
      <c r="I968" s="5"/>
      <c r="J968" s="5"/>
      <c r="K968" s="5"/>
    </row>
    <row r="969" spans="9:11" ht="13.15">
      <c r="I969" s="5"/>
      <c r="J969" s="5"/>
      <c r="K969" s="5"/>
    </row>
    <row r="970" spans="9:11" ht="13.15">
      <c r="I970" s="5"/>
      <c r="J970" s="5"/>
      <c r="K970" s="5"/>
    </row>
    <row r="971" spans="9:11" ht="13.15">
      <c r="I971" s="5"/>
      <c r="J971" s="5"/>
      <c r="K971" s="5"/>
    </row>
    <row r="972" spans="9:11" ht="13.15">
      <c r="I972" s="5"/>
      <c r="J972" s="5"/>
      <c r="K972" s="5"/>
    </row>
    <row r="973" spans="9:11" ht="13.15">
      <c r="I973" s="5"/>
      <c r="J973" s="5"/>
      <c r="K973" s="5"/>
    </row>
    <row r="974" spans="9:11" ht="13.15">
      <c r="I974" s="5"/>
      <c r="J974" s="5"/>
      <c r="K974" s="5"/>
    </row>
    <row r="975" spans="9:11" ht="13.15">
      <c r="I975" s="5"/>
      <c r="J975" s="5"/>
      <c r="K975" s="5"/>
    </row>
    <row r="976" spans="9:11" ht="13.15">
      <c r="I976" s="5"/>
      <c r="J976" s="5"/>
      <c r="K976" s="5"/>
    </row>
    <row r="977" spans="9:11" ht="13.15">
      <c r="I977" s="5"/>
      <c r="J977" s="5"/>
      <c r="K977" s="5"/>
    </row>
    <row r="978" spans="9:11" ht="13.15">
      <c r="I978" s="5"/>
      <c r="J978" s="5"/>
      <c r="K978" s="5"/>
    </row>
    <row r="979" spans="9:11" ht="13.15">
      <c r="I979" s="5"/>
      <c r="J979" s="5"/>
      <c r="K979" s="5"/>
    </row>
    <row r="980" spans="9:11" ht="13.15">
      <c r="I980" s="5"/>
      <c r="J980" s="5"/>
      <c r="K980" s="5"/>
    </row>
    <row r="981" spans="9:11" ht="13.15">
      <c r="I981" s="5"/>
      <c r="J981" s="5"/>
      <c r="K981" s="5"/>
    </row>
    <row r="982" spans="9:11" ht="13.15">
      <c r="I982" s="5"/>
      <c r="J982" s="5"/>
      <c r="K982" s="5"/>
    </row>
    <row r="983" spans="9:11" ht="13.15">
      <c r="I983" s="5"/>
      <c r="J983" s="5"/>
      <c r="K983" s="5"/>
    </row>
    <row r="984" spans="9:11" ht="13.15">
      <c r="I984" s="5"/>
      <c r="J984" s="5"/>
      <c r="K984" s="5"/>
    </row>
    <row r="985" spans="9:11" ht="13.15">
      <c r="I985" s="5"/>
      <c r="J985" s="5"/>
      <c r="K985" s="5"/>
    </row>
    <row r="986" spans="9:11" ht="13.15">
      <c r="I986" s="5"/>
      <c r="J986" s="5"/>
      <c r="K986" s="5"/>
    </row>
    <row r="987" spans="9:11" ht="13.15">
      <c r="I987" s="5"/>
      <c r="J987" s="5"/>
      <c r="K987" s="5"/>
    </row>
    <row r="988" spans="9:11" ht="13.15">
      <c r="I988" s="5"/>
      <c r="J988" s="5"/>
      <c r="K988" s="5"/>
    </row>
    <row r="989" spans="9:11" ht="13.15">
      <c r="I989" s="5"/>
      <c r="J989" s="5"/>
      <c r="K989" s="5"/>
    </row>
    <row r="990" spans="9:11" ht="13.15">
      <c r="I990" s="5"/>
      <c r="J990" s="5"/>
      <c r="K990" s="5"/>
    </row>
    <row r="991" spans="9:11" ht="13.15">
      <c r="I991" s="5"/>
      <c r="J991" s="5"/>
      <c r="K991" s="5"/>
    </row>
    <row r="992" spans="9:11" ht="13.15">
      <c r="I992" s="5"/>
      <c r="J992" s="5"/>
      <c r="K992" s="5"/>
    </row>
    <row r="993" spans="9:11" ht="13.15">
      <c r="I993" s="5"/>
      <c r="J993" s="5"/>
      <c r="K993" s="5"/>
    </row>
    <row r="994" spans="9:11" ht="13.15">
      <c r="I994" s="5"/>
      <c r="J994" s="5"/>
      <c r="K994" s="5"/>
    </row>
    <row r="995" spans="9:11" ht="13.15">
      <c r="I995" s="5"/>
      <c r="J995" s="5"/>
      <c r="K995" s="5"/>
    </row>
    <row r="996" spans="9:11" ht="13.15">
      <c r="I996" s="5"/>
      <c r="J996" s="5"/>
      <c r="K996" s="5"/>
    </row>
    <row r="997" spans="9:11" ht="13.15">
      <c r="I997" s="5"/>
      <c r="J997" s="5"/>
      <c r="K997" s="5"/>
    </row>
    <row r="998" spans="9:11" ht="13.15">
      <c r="I998" s="5"/>
      <c r="J998" s="5"/>
      <c r="K998" s="5"/>
    </row>
    <row r="999" spans="9:11" ht="13.15">
      <c r="I999" s="5"/>
      <c r="J999" s="5"/>
      <c r="K999" s="5"/>
    </row>
    <row r="1000" spans="9:11" ht="13.15">
      <c r="I1000" s="5"/>
      <c r="J1000" s="5"/>
      <c r="K1000" s="5"/>
    </row>
    <row r="1001" spans="9:11" ht="13.15">
      <c r="I1001" s="5"/>
      <c r="J1001" s="5"/>
      <c r="K1001" s="5"/>
    </row>
  </sheetData>
  <autoFilter ref="A1:K31" xr:uid="{00000000-0009-0000-0000-000000000000}"/>
  <mergeCells count="12">
    <mergeCell ref="A73:C73"/>
    <mergeCell ref="A74:C74"/>
    <mergeCell ref="D74:F74"/>
    <mergeCell ref="A75:C75"/>
    <mergeCell ref="D75:F75"/>
    <mergeCell ref="D73:F73"/>
    <mergeCell ref="L2:M2"/>
    <mergeCell ref="L7:M7"/>
    <mergeCell ref="A71:C71"/>
    <mergeCell ref="D71:F71"/>
    <mergeCell ref="A72:C72"/>
    <mergeCell ref="D72:F72"/>
  </mergeCells>
  <conditionalFormatting sqref="A38">
    <cfRule type="colorScale" priority="3">
      <colorScale>
        <cfvo type="min"/>
        <cfvo type="max"/>
        <color rgb="FFFFFFFF"/>
        <color rgb="FF57BB8A"/>
      </colorScale>
    </cfRule>
  </conditionalFormatting>
  <conditionalFormatting sqref="D1:D31">
    <cfRule type="expression" dxfId="24" priority="1">
      <formula>NOT(ISERROR(SEARCH(("NULL"),(D1))))</formula>
    </cfRule>
  </conditionalFormatting>
  <conditionalFormatting sqref="E2:F31">
    <cfRule type="expression" dxfId="23" priority="2">
      <formula>NOT(ISERROR(SEARCH(("NULL"),(E2))))</formula>
    </cfRule>
  </conditionalFormatting>
  <conditionalFormatting sqref="I1:I1001">
    <cfRule type="cellIs" dxfId="22" priority="4" operator="greaterThan">
      <formula>5000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18821-F06B-49F1-B986-EDAE24E86CCE}">
  <dimension ref="A1:N63"/>
  <sheetViews>
    <sheetView topLeftCell="A16" workbookViewId="0">
      <selection activeCell="E33" sqref="E33"/>
    </sheetView>
  </sheetViews>
  <sheetFormatPr defaultRowHeight="13.15"/>
  <cols>
    <col min="1" max="1" width="8.5703125" bestFit="1" customWidth="1"/>
    <col min="2" max="2" width="18.5703125" bestFit="1" customWidth="1"/>
    <col min="3" max="3" width="11.140625" bestFit="1" customWidth="1"/>
    <col min="4" max="4" width="8.28515625" bestFit="1" customWidth="1"/>
    <col min="5" max="5" width="13.5703125" bestFit="1" customWidth="1"/>
    <col min="6" max="6" width="13.28515625" bestFit="1" customWidth="1"/>
    <col min="7" max="7" width="16" bestFit="1" customWidth="1"/>
    <col min="8" max="8" width="10.7109375" bestFit="1" customWidth="1"/>
    <col min="9" max="9" width="12.7109375" bestFit="1" customWidth="1"/>
    <col min="10" max="10" width="25.7109375" bestFit="1" customWidth="1"/>
    <col min="11" max="11" width="27" bestFit="1" customWidth="1"/>
    <col min="12" max="12" width="14.7109375" customWidth="1"/>
    <col min="13" max="13" width="8.28515625" bestFit="1" customWidth="1"/>
    <col min="14" max="14" width="15.42578125" customWidth="1"/>
  </cols>
  <sheetData>
    <row r="1" spans="1:14" ht="14.45">
      <c r="A1" s="1" t="s">
        <v>0</v>
      </c>
      <c r="B1" s="1" t="s">
        <v>1</v>
      </c>
      <c r="C1" s="1" t="s">
        <v>2</v>
      </c>
      <c r="D1" s="1" t="s">
        <v>3</v>
      </c>
      <c r="E1" s="28" t="s">
        <v>4</v>
      </c>
      <c r="F1" s="1" t="s">
        <v>5</v>
      </c>
      <c r="G1" s="28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31"/>
      <c r="M1" s="31"/>
      <c r="N1" s="31" t="s">
        <v>6</v>
      </c>
    </row>
    <row r="2" spans="1:14" ht="14.45">
      <c r="A2" s="3">
        <f ca="1">A2:K311001</f>
        <v>0</v>
      </c>
      <c r="B2" s="3" t="s">
        <v>11</v>
      </c>
      <c r="C2" s="3" t="s">
        <v>12</v>
      </c>
      <c r="D2" s="3">
        <v>3</v>
      </c>
      <c r="E2" s="3">
        <v>500</v>
      </c>
      <c r="F2" s="3">
        <v>1500</v>
      </c>
      <c r="G2" s="27" t="str">
        <f>UPPER(N2)</f>
        <v>NORTH</v>
      </c>
      <c r="H2" s="4">
        <v>45660</v>
      </c>
      <c r="I2" s="5">
        <f t="shared" ref="I2:I31" si="0">F2-(D2*E2*0.6)</f>
        <v>600</v>
      </c>
      <c r="J2" s="5" t="str">
        <f t="shared" ref="J2:J31" si="1">TRIM(G2)</f>
        <v>NORTH</v>
      </c>
      <c r="K2" s="5" t="str">
        <f t="shared" ref="K2:K31" si="2">UPPER(G2)</f>
        <v>NORTH</v>
      </c>
      <c r="L2" s="40" t="s">
        <v>14</v>
      </c>
      <c r="M2" s="55"/>
      <c r="N2" s="27" t="s">
        <v>13</v>
      </c>
    </row>
    <row r="3" spans="1:14" ht="14.45">
      <c r="A3" s="6">
        <v>1002</v>
      </c>
      <c r="B3" s="6" t="s">
        <v>15</v>
      </c>
      <c r="C3" s="6" t="s">
        <v>16</v>
      </c>
      <c r="D3" s="6">
        <v>2</v>
      </c>
      <c r="E3" s="6">
        <v>800</v>
      </c>
      <c r="F3" s="6">
        <v>16400</v>
      </c>
      <c r="G3" s="27" t="str">
        <f t="shared" ref="G3:G31" si="3">UPPER(N3)</f>
        <v>SOUTH</v>
      </c>
      <c r="H3" s="7">
        <v>45691</v>
      </c>
      <c r="I3" s="5">
        <f t="shared" si="0"/>
        <v>15440</v>
      </c>
      <c r="J3" s="5" t="str">
        <f t="shared" si="1"/>
        <v>SOUTH</v>
      </c>
      <c r="K3" s="5" t="str">
        <f t="shared" si="2"/>
        <v>SOUTH</v>
      </c>
      <c r="L3" s="8" t="s">
        <v>0</v>
      </c>
      <c r="M3" s="8">
        <v>1015</v>
      </c>
      <c r="N3" s="6" t="s">
        <v>17</v>
      </c>
    </row>
    <row r="4" spans="1:14" ht="14.45">
      <c r="A4" s="3">
        <v>1003</v>
      </c>
      <c r="B4" s="3" t="s">
        <v>18</v>
      </c>
      <c r="C4" s="3" t="s">
        <v>19</v>
      </c>
      <c r="D4" s="3">
        <v>1</v>
      </c>
      <c r="E4" s="3">
        <v>3500</v>
      </c>
      <c r="F4" s="3">
        <v>3500</v>
      </c>
      <c r="G4" s="27" t="str">
        <f t="shared" si="3"/>
        <v>EAST</v>
      </c>
      <c r="H4" s="4">
        <v>45719</v>
      </c>
      <c r="I4" s="5">
        <f t="shared" si="0"/>
        <v>1400</v>
      </c>
      <c r="J4" s="5" t="str">
        <f t="shared" si="1"/>
        <v>EAST</v>
      </c>
      <c r="K4" s="5" t="str">
        <f t="shared" si="2"/>
        <v>EAST</v>
      </c>
      <c r="L4" s="8" t="s">
        <v>5</v>
      </c>
      <c r="M4" s="9">
        <f ca="1">VLOOKUP(M3, A1:F31, 6, FALSE)</f>
        <v>5400</v>
      </c>
      <c r="N4" s="3" t="s">
        <v>20</v>
      </c>
    </row>
    <row r="5" spans="1:14" ht="14.45">
      <c r="A5" s="6">
        <v>1004</v>
      </c>
      <c r="B5" s="6" t="s">
        <v>21</v>
      </c>
      <c r="C5" s="6" t="s">
        <v>12</v>
      </c>
      <c r="D5" s="6">
        <v>4</v>
      </c>
      <c r="E5" s="6">
        <v>12619</v>
      </c>
      <c r="F5" s="6">
        <v>16400</v>
      </c>
      <c r="G5" s="27" t="str">
        <f t="shared" si="3"/>
        <v>WEST</v>
      </c>
      <c r="H5" s="7">
        <v>45750</v>
      </c>
      <c r="I5" s="5">
        <f t="shared" si="0"/>
        <v>-13885.599999999999</v>
      </c>
      <c r="J5" s="5" t="str">
        <f t="shared" si="1"/>
        <v>WEST</v>
      </c>
      <c r="K5" s="5" t="str">
        <f t="shared" si="2"/>
        <v>WEST</v>
      </c>
      <c r="L5" s="31"/>
      <c r="M5" s="31"/>
      <c r="N5" s="6" t="s">
        <v>22</v>
      </c>
    </row>
    <row r="6" spans="1:14" ht="14.45">
      <c r="A6" s="3">
        <v>1005</v>
      </c>
      <c r="B6" s="3" t="s">
        <v>23</v>
      </c>
      <c r="C6" s="3" t="s">
        <v>24</v>
      </c>
      <c r="D6" s="3">
        <v>2</v>
      </c>
      <c r="E6" s="3">
        <v>2500</v>
      </c>
      <c r="F6" s="3">
        <v>5000</v>
      </c>
      <c r="G6" s="27" t="str">
        <f t="shared" si="3"/>
        <v>NORTH</v>
      </c>
      <c r="H6" s="4">
        <v>45780</v>
      </c>
      <c r="I6" s="5">
        <f t="shared" si="0"/>
        <v>2000</v>
      </c>
      <c r="J6" s="5" t="str">
        <f t="shared" si="1"/>
        <v>NORTH</v>
      </c>
      <c r="K6" s="5" t="str">
        <f t="shared" si="2"/>
        <v>NORTH</v>
      </c>
      <c r="L6" s="31"/>
      <c r="M6" s="31"/>
      <c r="N6" s="3" t="s">
        <v>13</v>
      </c>
    </row>
    <row r="7" spans="1:14" ht="14.45">
      <c r="A7" s="6">
        <v>1006</v>
      </c>
      <c r="B7" s="6" t="s">
        <v>25</v>
      </c>
      <c r="C7" s="6" t="s">
        <v>12</v>
      </c>
      <c r="D7" s="6">
        <v>2</v>
      </c>
      <c r="E7" s="6">
        <v>7000</v>
      </c>
      <c r="F7" s="6">
        <v>14000</v>
      </c>
      <c r="G7" s="27" t="str">
        <f t="shared" si="3"/>
        <v>NULL</v>
      </c>
      <c r="H7" s="7">
        <v>45811</v>
      </c>
      <c r="I7" s="5">
        <f t="shared" si="0"/>
        <v>5600</v>
      </c>
      <c r="J7" s="5" t="str">
        <f t="shared" si="1"/>
        <v>NULL</v>
      </c>
      <c r="K7" s="5" t="str">
        <f t="shared" si="2"/>
        <v>NULL</v>
      </c>
      <c r="L7" s="56" t="s">
        <v>27</v>
      </c>
      <c r="M7" s="55"/>
      <c r="N7" s="6" t="s">
        <v>26</v>
      </c>
    </row>
    <row r="8" spans="1:14" ht="14.45">
      <c r="A8" s="3">
        <v>1007</v>
      </c>
      <c r="B8" s="3" t="s">
        <v>28</v>
      </c>
      <c r="C8" s="3" t="s">
        <v>16</v>
      </c>
      <c r="D8" s="3">
        <v>1</v>
      </c>
      <c r="E8" s="3">
        <v>12619</v>
      </c>
      <c r="F8" s="3">
        <v>16400</v>
      </c>
      <c r="G8" s="27" t="str">
        <f t="shared" si="3"/>
        <v>SOUTH</v>
      </c>
      <c r="H8" s="4">
        <v>45841</v>
      </c>
      <c r="I8" s="5">
        <f t="shared" si="0"/>
        <v>8828.6</v>
      </c>
      <c r="J8" s="5" t="str">
        <f t="shared" si="1"/>
        <v>SOUTH</v>
      </c>
      <c r="K8" s="5" t="str">
        <f t="shared" si="2"/>
        <v>SOUTH</v>
      </c>
      <c r="L8" s="8" t="s">
        <v>0</v>
      </c>
      <c r="M8" s="8">
        <v>1027</v>
      </c>
      <c r="N8" s="3" t="s">
        <v>17</v>
      </c>
    </row>
    <row r="9" spans="1:14" ht="14.45">
      <c r="A9" s="6">
        <v>1008</v>
      </c>
      <c r="B9" s="6" t="s">
        <v>29</v>
      </c>
      <c r="C9" s="6" t="s">
        <v>19</v>
      </c>
      <c r="D9" s="6">
        <v>3</v>
      </c>
      <c r="E9" s="6">
        <v>4500</v>
      </c>
      <c r="F9" s="6">
        <v>13500</v>
      </c>
      <c r="G9" s="27" t="str">
        <f t="shared" si="3"/>
        <v>EAST</v>
      </c>
      <c r="H9" s="7">
        <v>45872</v>
      </c>
      <c r="I9" s="5">
        <f t="shared" si="0"/>
        <v>5400</v>
      </c>
      <c r="J9" s="5" t="str">
        <f t="shared" si="1"/>
        <v>EAST</v>
      </c>
      <c r="K9" s="5" t="str">
        <f t="shared" si="2"/>
        <v>EAST</v>
      </c>
      <c r="L9" s="8" t="s">
        <v>30</v>
      </c>
      <c r="M9" s="10" t="str">
        <f t="array" aca="1" ref="M9" ca="1">INDEX(C1:C31, MATCH(M8, A1:A31,0))</f>
        <v>Furniture</v>
      </c>
      <c r="N9" s="6" t="s">
        <v>20</v>
      </c>
    </row>
    <row r="10" spans="1:14" ht="14.45">
      <c r="A10" s="3">
        <v>1009</v>
      </c>
      <c r="B10" s="3" t="s">
        <v>31</v>
      </c>
      <c r="C10" s="3" t="s">
        <v>32</v>
      </c>
      <c r="D10" s="3">
        <v>2</v>
      </c>
      <c r="E10" s="3">
        <v>6000</v>
      </c>
      <c r="F10" s="3">
        <v>16400</v>
      </c>
      <c r="G10" s="27" t="str">
        <f t="shared" si="3"/>
        <v>NORTH</v>
      </c>
      <c r="H10" s="4">
        <v>45903</v>
      </c>
      <c r="I10" s="5">
        <f t="shared" si="0"/>
        <v>9200</v>
      </c>
      <c r="J10" s="5" t="str">
        <f t="shared" si="1"/>
        <v>NORTH</v>
      </c>
      <c r="K10" s="5" t="str">
        <f t="shared" si="2"/>
        <v>NORTH</v>
      </c>
      <c r="L10" s="31"/>
      <c r="M10" s="31"/>
      <c r="N10" s="3" t="s">
        <v>13</v>
      </c>
    </row>
    <row r="11" spans="1:14" ht="14.45">
      <c r="A11" s="6">
        <v>1010</v>
      </c>
      <c r="B11" s="6" t="s">
        <v>33</v>
      </c>
      <c r="C11" s="6" t="s">
        <v>16</v>
      </c>
      <c r="D11" s="6">
        <v>2</v>
      </c>
      <c r="E11" s="6">
        <v>1500</v>
      </c>
      <c r="F11" s="6">
        <v>3000</v>
      </c>
      <c r="G11" s="27" t="str">
        <f t="shared" si="3"/>
        <v>WEST</v>
      </c>
      <c r="H11" s="7">
        <v>45933</v>
      </c>
      <c r="I11" s="5">
        <f t="shared" si="0"/>
        <v>1200</v>
      </c>
      <c r="J11" s="5" t="str">
        <f t="shared" si="1"/>
        <v>WEST</v>
      </c>
      <c r="K11" s="5" t="str">
        <f t="shared" si="2"/>
        <v>WEST</v>
      </c>
      <c r="L11" s="31"/>
      <c r="M11" s="31"/>
      <c r="N11" s="6" t="s">
        <v>22</v>
      </c>
    </row>
    <row r="12" spans="1:14" ht="14.45">
      <c r="A12" s="3">
        <v>1011</v>
      </c>
      <c r="B12" s="3" t="s">
        <v>34</v>
      </c>
      <c r="C12" s="3" t="s">
        <v>12</v>
      </c>
      <c r="D12" s="3">
        <v>5</v>
      </c>
      <c r="E12" s="3">
        <v>12619</v>
      </c>
      <c r="F12" s="3">
        <v>16400</v>
      </c>
      <c r="G12" s="27" t="str">
        <f t="shared" si="3"/>
        <v>EAST</v>
      </c>
      <c r="H12" s="4">
        <v>45964</v>
      </c>
      <c r="I12" s="5">
        <f t="shared" si="0"/>
        <v>-21457</v>
      </c>
      <c r="J12" s="5" t="str">
        <f t="shared" si="1"/>
        <v>EAST</v>
      </c>
      <c r="K12" s="5" t="str">
        <f t="shared" si="2"/>
        <v>EAST</v>
      </c>
      <c r="L12" s="31"/>
      <c r="M12" s="31"/>
      <c r="N12" s="3" t="s">
        <v>20</v>
      </c>
    </row>
    <row r="13" spans="1:14" ht="14.45">
      <c r="A13" s="6">
        <v>1012</v>
      </c>
      <c r="B13" s="6" t="s">
        <v>35</v>
      </c>
      <c r="C13" s="6" t="s">
        <v>19</v>
      </c>
      <c r="D13" s="6">
        <v>1</v>
      </c>
      <c r="E13" s="6">
        <v>2200</v>
      </c>
      <c r="F13" s="6">
        <v>2200</v>
      </c>
      <c r="G13" s="27" t="str">
        <f t="shared" si="3"/>
        <v>SOUTH</v>
      </c>
      <c r="H13" s="7">
        <v>45994</v>
      </c>
      <c r="I13" s="5">
        <f t="shared" si="0"/>
        <v>880</v>
      </c>
      <c r="J13" s="5" t="str">
        <f t="shared" si="1"/>
        <v>SOUTH</v>
      </c>
      <c r="K13" s="5" t="str">
        <f t="shared" si="2"/>
        <v>SOUTH</v>
      </c>
      <c r="L13" s="31"/>
      <c r="M13" s="31"/>
      <c r="N13" s="6" t="s">
        <v>17</v>
      </c>
    </row>
    <row r="14" spans="1:14" ht="14.45">
      <c r="A14" s="3">
        <v>1013</v>
      </c>
      <c r="B14" s="3" t="s">
        <v>36</v>
      </c>
      <c r="C14" s="3" t="s">
        <v>32</v>
      </c>
      <c r="D14" s="3">
        <v>2</v>
      </c>
      <c r="E14" s="3">
        <v>12000</v>
      </c>
      <c r="F14" s="3">
        <v>24000</v>
      </c>
      <c r="G14" s="27" t="str">
        <f t="shared" si="3"/>
        <v>WEST</v>
      </c>
      <c r="H14" s="3" t="s">
        <v>37</v>
      </c>
      <c r="I14" s="5">
        <f t="shared" si="0"/>
        <v>9600</v>
      </c>
      <c r="J14" s="5" t="str">
        <f t="shared" si="1"/>
        <v>WEST</v>
      </c>
      <c r="K14" s="5" t="str">
        <f t="shared" si="2"/>
        <v>WEST</v>
      </c>
      <c r="L14" s="31"/>
      <c r="M14" s="31"/>
      <c r="N14" s="3" t="s">
        <v>22</v>
      </c>
    </row>
    <row r="15" spans="1:14" ht="14.45">
      <c r="A15" s="6">
        <v>1014</v>
      </c>
      <c r="B15" s="6" t="s">
        <v>38</v>
      </c>
      <c r="C15" s="6" t="s">
        <v>16</v>
      </c>
      <c r="D15" s="6">
        <v>2</v>
      </c>
      <c r="E15" s="6">
        <v>900</v>
      </c>
      <c r="F15" s="6">
        <v>16400</v>
      </c>
      <c r="G15" s="27" t="str">
        <f t="shared" si="3"/>
        <v>NORTH</v>
      </c>
      <c r="H15" s="6" t="s">
        <v>39</v>
      </c>
      <c r="I15" s="5">
        <f t="shared" si="0"/>
        <v>15320</v>
      </c>
      <c r="J15" s="5" t="str">
        <f t="shared" si="1"/>
        <v>NORTH</v>
      </c>
      <c r="K15" s="5" t="str">
        <f t="shared" si="2"/>
        <v>NORTH</v>
      </c>
      <c r="L15" s="31"/>
      <c r="M15" s="31"/>
      <c r="N15" s="6" t="s">
        <v>13</v>
      </c>
    </row>
    <row r="16" spans="1:14" ht="14.45">
      <c r="A16" s="3">
        <v>1015</v>
      </c>
      <c r="B16" s="3" t="s">
        <v>40</v>
      </c>
      <c r="C16" s="3" t="s">
        <v>32</v>
      </c>
      <c r="D16" s="3">
        <v>3</v>
      </c>
      <c r="E16" s="3">
        <v>1800</v>
      </c>
      <c r="F16" s="3">
        <v>5400</v>
      </c>
      <c r="G16" s="27" t="str">
        <f t="shared" si="3"/>
        <v>EAST</v>
      </c>
      <c r="H16" s="3" t="s">
        <v>41</v>
      </c>
      <c r="I16" s="5">
        <f t="shared" si="0"/>
        <v>2160</v>
      </c>
      <c r="J16" s="5" t="str">
        <f t="shared" si="1"/>
        <v>EAST</v>
      </c>
      <c r="K16" s="5" t="str">
        <f t="shared" si="2"/>
        <v>EAST</v>
      </c>
      <c r="L16" s="31"/>
      <c r="M16" s="31"/>
      <c r="N16" s="3" t="s">
        <v>20</v>
      </c>
    </row>
    <row r="17" spans="1:14" ht="14.45">
      <c r="A17" s="6">
        <v>1016</v>
      </c>
      <c r="B17" s="6" t="s">
        <v>42</v>
      </c>
      <c r="C17" s="6" t="s">
        <v>19</v>
      </c>
      <c r="D17" s="6">
        <v>2</v>
      </c>
      <c r="E17" s="6">
        <v>1500</v>
      </c>
      <c r="F17" s="6">
        <v>16400</v>
      </c>
      <c r="G17" s="27" t="str">
        <f t="shared" si="3"/>
        <v>SOUTH</v>
      </c>
      <c r="H17" s="6" t="s">
        <v>43</v>
      </c>
      <c r="I17" s="5">
        <f t="shared" si="0"/>
        <v>14600</v>
      </c>
      <c r="J17" s="5" t="str">
        <f t="shared" si="1"/>
        <v>SOUTH</v>
      </c>
      <c r="K17" s="5" t="str">
        <f t="shared" si="2"/>
        <v>SOUTH</v>
      </c>
      <c r="L17" s="31"/>
      <c r="M17" s="31"/>
      <c r="N17" s="6" t="s">
        <v>17</v>
      </c>
    </row>
    <row r="18" spans="1:14" ht="14.45">
      <c r="A18" s="3">
        <v>1017</v>
      </c>
      <c r="B18" s="3" t="s">
        <v>44</v>
      </c>
      <c r="C18" s="3" t="s">
        <v>45</v>
      </c>
      <c r="D18" s="3">
        <v>1</v>
      </c>
      <c r="E18" s="3">
        <v>8000</v>
      </c>
      <c r="F18" s="3">
        <v>8000</v>
      </c>
      <c r="G18" s="27" t="str">
        <f t="shared" si="3"/>
        <v>WEST</v>
      </c>
      <c r="H18" s="3" t="s">
        <v>46</v>
      </c>
      <c r="I18" s="5">
        <f t="shared" si="0"/>
        <v>3200</v>
      </c>
      <c r="J18" s="5" t="str">
        <f t="shared" si="1"/>
        <v>WEST</v>
      </c>
      <c r="K18" s="5" t="str">
        <f t="shared" si="2"/>
        <v>WEST</v>
      </c>
      <c r="L18" s="31"/>
      <c r="M18" s="31"/>
      <c r="N18" s="3" t="s">
        <v>22</v>
      </c>
    </row>
    <row r="19" spans="1:14" ht="14.45">
      <c r="A19" s="6">
        <v>1018</v>
      </c>
      <c r="B19" s="6" t="s">
        <v>47</v>
      </c>
      <c r="C19" s="6" t="s">
        <v>16</v>
      </c>
      <c r="D19" s="6">
        <v>2</v>
      </c>
      <c r="E19" s="6">
        <v>5500</v>
      </c>
      <c r="F19" s="6">
        <v>11000</v>
      </c>
      <c r="G19" s="27" t="str">
        <f t="shared" si="3"/>
        <v>NORTH</v>
      </c>
      <c r="H19" s="6" t="s">
        <v>48</v>
      </c>
      <c r="I19" s="5">
        <f t="shared" si="0"/>
        <v>4400</v>
      </c>
      <c r="J19" s="5" t="str">
        <f t="shared" si="1"/>
        <v>NORTH</v>
      </c>
      <c r="K19" s="5" t="str">
        <f t="shared" si="2"/>
        <v>NORTH</v>
      </c>
      <c r="L19" s="31"/>
      <c r="M19" s="31"/>
      <c r="N19" s="6" t="s">
        <v>13</v>
      </c>
    </row>
    <row r="20" spans="1:14" ht="14.45">
      <c r="A20" s="3">
        <v>1019</v>
      </c>
      <c r="B20" s="3" t="s">
        <v>49</v>
      </c>
      <c r="C20" s="3" t="s">
        <v>12</v>
      </c>
      <c r="D20" s="3">
        <v>1</v>
      </c>
      <c r="E20" s="3">
        <v>20000</v>
      </c>
      <c r="F20" s="3">
        <v>20000</v>
      </c>
      <c r="G20" s="27" t="str">
        <f t="shared" si="3"/>
        <v>EAST</v>
      </c>
      <c r="H20" s="3" t="s">
        <v>50</v>
      </c>
      <c r="I20" s="5">
        <f t="shared" si="0"/>
        <v>8000</v>
      </c>
      <c r="J20" s="5" t="str">
        <f t="shared" si="1"/>
        <v>EAST</v>
      </c>
      <c r="K20" s="5" t="str">
        <f t="shared" si="2"/>
        <v>EAST</v>
      </c>
      <c r="L20" s="31"/>
      <c r="M20" s="31"/>
      <c r="N20" s="3" t="s">
        <v>20</v>
      </c>
    </row>
    <row r="21" spans="1:14" ht="14.45">
      <c r="A21" s="6">
        <v>1020</v>
      </c>
      <c r="B21" s="6" t="s">
        <v>51</v>
      </c>
      <c r="C21" s="6" t="s">
        <v>16</v>
      </c>
      <c r="D21" s="6">
        <v>2</v>
      </c>
      <c r="E21" s="6">
        <v>1200</v>
      </c>
      <c r="F21" s="6">
        <v>16400</v>
      </c>
      <c r="G21" s="27" t="str">
        <f t="shared" si="3"/>
        <v>SOUTH</v>
      </c>
      <c r="H21" s="6" t="s">
        <v>52</v>
      </c>
      <c r="I21" s="5">
        <f t="shared" si="0"/>
        <v>14960</v>
      </c>
      <c r="J21" s="5" t="str">
        <f t="shared" si="1"/>
        <v>SOUTH</v>
      </c>
      <c r="K21" s="5" t="str">
        <f t="shared" si="2"/>
        <v>SOUTH</v>
      </c>
      <c r="L21" s="31"/>
      <c r="M21" s="31"/>
      <c r="N21" s="6" t="s">
        <v>17</v>
      </c>
    </row>
    <row r="22" spans="1:14" ht="14.45">
      <c r="A22" s="3">
        <v>1021</v>
      </c>
      <c r="B22" s="3" t="s">
        <v>53</v>
      </c>
      <c r="C22" s="3" t="s">
        <v>19</v>
      </c>
      <c r="D22" s="3">
        <v>2</v>
      </c>
      <c r="E22" s="3">
        <v>4000</v>
      </c>
      <c r="F22" s="3">
        <v>8000</v>
      </c>
      <c r="G22" s="27" t="str">
        <f t="shared" si="3"/>
        <v>WEST</v>
      </c>
      <c r="H22" s="3" t="s">
        <v>54</v>
      </c>
      <c r="I22" s="5">
        <f t="shared" si="0"/>
        <v>3200</v>
      </c>
      <c r="J22" s="5" t="str">
        <f t="shared" si="1"/>
        <v>WEST</v>
      </c>
      <c r="K22" s="5" t="str">
        <f t="shared" si="2"/>
        <v>WEST</v>
      </c>
      <c r="L22" s="31"/>
      <c r="M22" s="31"/>
      <c r="N22" s="3" t="s">
        <v>22</v>
      </c>
    </row>
    <row r="23" spans="1:14" ht="14.45">
      <c r="A23" s="6">
        <v>1022</v>
      </c>
      <c r="B23" s="6" t="s">
        <v>55</v>
      </c>
      <c r="C23" s="6" t="s">
        <v>12</v>
      </c>
      <c r="D23" s="6">
        <v>2</v>
      </c>
      <c r="E23" s="6">
        <v>15000</v>
      </c>
      <c r="F23" s="6">
        <v>16400</v>
      </c>
      <c r="G23" s="27" t="str">
        <f t="shared" si="3"/>
        <v>NORTH</v>
      </c>
      <c r="H23" s="6" t="s">
        <v>56</v>
      </c>
      <c r="I23" s="5">
        <f t="shared" si="0"/>
        <v>-1600</v>
      </c>
      <c r="J23" s="5" t="str">
        <f t="shared" si="1"/>
        <v>NORTH</v>
      </c>
      <c r="K23" s="5" t="str">
        <f t="shared" si="2"/>
        <v>NORTH</v>
      </c>
      <c r="L23" s="31"/>
      <c r="M23" s="31"/>
      <c r="N23" s="6" t="s">
        <v>13</v>
      </c>
    </row>
    <row r="24" spans="1:14" ht="14.45">
      <c r="A24" s="3">
        <v>1023</v>
      </c>
      <c r="B24" s="3" t="s">
        <v>57</v>
      </c>
      <c r="C24" s="3" t="s">
        <v>32</v>
      </c>
      <c r="D24" s="3">
        <v>1</v>
      </c>
      <c r="E24" s="3">
        <v>2500</v>
      </c>
      <c r="F24" s="3">
        <v>2500</v>
      </c>
      <c r="G24" s="27" t="str">
        <f t="shared" si="3"/>
        <v>EAST</v>
      </c>
      <c r="H24" s="3" t="s">
        <v>58</v>
      </c>
      <c r="I24" s="5">
        <f t="shared" si="0"/>
        <v>1000</v>
      </c>
      <c r="J24" s="5" t="str">
        <f t="shared" si="1"/>
        <v>EAST</v>
      </c>
      <c r="K24" s="5" t="str">
        <f t="shared" si="2"/>
        <v>EAST</v>
      </c>
      <c r="L24" s="31"/>
      <c r="M24" s="31"/>
      <c r="N24" s="3" t="s">
        <v>20</v>
      </c>
    </row>
    <row r="25" spans="1:14" ht="14.45">
      <c r="A25" s="6">
        <v>1024</v>
      </c>
      <c r="B25" s="6" t="s">
        <v>38</v>
      </c>
      <c r="C25" s="6" t="s">
        <v>16</v>
      </c>
      <c r="D25" s="6">
        <v>3</v>
      </c>
      <c r="E25" s="6">
        <v>12619</v>
      </c>
      <c r="F25" s="6">
        <v>16400</v>
      </c>
      <c r="G25" s="27" t="str">
        <f t="shared" si="3"/>
        <v>SOUTH</v>
      </c>
      <c r="H25" s="6" t="s">
        <v>59</v>
      </c>
      <c r="I25" s="5">
        <f t="shared" si="0"/>
        <v>-6314.2000000000007</v>
      </c>
      <c r="J25" s="5" t="str">
        <f t="shared" si="1"/>
        <v>SOUTH</v>
      </c>
      <c r="K25" s="5" t="str">
        <f t="shared" si="2"/>
        <v>SOUTH</v>
      </c>
      <c r="L25" s="31"/>
      <c r="M25" s="31"/>
      <c r="N25" s="6" t="s">
        <v>17</v>
      </c>
    </row>
    <row r="26" spans="1:14" ht="14.45">
      <c r="A26" s="3">
        <v>1025</v>
      </c>
      <c r="B26" s="3" t="s">
        <v>60</v>
      </c>
      <c r="C26" s="3" t="s">
        <v>12</v>
      </c>
      <c r="D26" s="3">
        <v>1</v>
      </c>
      <c r="E26" s="3">
        <v>40000</v>
      </c>
      <c r="F26" s="3">
        <v>40000</v>
      </c>
      <c r="G26" s="27" t="str">
        <f t="shared" si="3"/>
        <v>WEST</v>
      </c>
      <c r="H26" s="3" t="s">
        <v>61</v>
      </c>
      <c r="I26" s="5">
        <f t="shared" si="0"/>
        <v>16000</v>
      </c>
      <c r="J26" s="5" t="str">
        <f t="shared" si="1"/>
        <v>WEST</v>
      </c>
      <c r="K26" s="5" t="str">
        <f t="shared" si="2"/>
        <v>WEST</v>
      </c>
      <c r="L26" s="31"/>
      <c r="M26" s="31"/>
      <c r="N26" s="3" t="s">
        <v>22</v>
      </c>
    </row>
    <row r="27" spans="1:14" ht="14.45">
      <c r="A27" s="6">
        <v>1026</v>
      </c>
      <c r="B27" s="6" t="s">
        <v>62</v>
      </c>
      <c r="C27" s="6" t="s">
        <v>19</v>
      </c>
      <c r="D27" s="6">
        <v>5</v>
      </c>
      <c r="E27" s="6">
        <v>200</v>
      </c>
      <c r="F27" s="6">
        <v>1000</v>
      </c>
      <c r="G27" s="27" t="str">
        <f t="shared" si="3"/>
        <v>NORTH</v>
      </c>
      <c r="H27" s="6" t="s">
        <v>63</v>
      </c>
      <c r="I27" s="5">
        <f t="shared" si="0"/>
        <v>400</v>
      </c>
      <c r="J27" s="5" t="str">
        <f t="shared" si="1"/>
        <v>NORTH</v>
      </c>
      <c r="K27" s="5" t="str">
        <f t="shared" si="2"/>
        <v>NORTH</v>
      </c>
      <c r="L27" s="31"/>
      <c r="M27" s="31"/>
      <c r="N27" s="6" t="s">
        <v>13</v>
      </c>
    </row>
    <row r="28" spans="1:14" ht="14.45">
      <c r="A28" s="3">
        <v>1027</v>
      </c>
      <c r="B28" s="3" t="s">
        <v>64</v>
      </c>
      <c r="C28" s="3" t="s">
        <v>45</v>
      </c>
      <c r="D28" s="3">
        <v>1</v>
      </c>
      <c r="E28" s="3">
        <v>55000</v>
      </c>
      <c r="F28" s="3">
        <v>55000</v>
      </c>
      <c r="G28" s="27" t="str">
        <f t="shared" si="3"/>
        <v>EAST</v>
      </c>
      <c r="H28" s="3" t="s">
        <v>65</v>
      </c>
      <c r="I28" s="5">
        <f t="shared" si="0"/>
        <v>22000</v>
      </c>
      <c r="J28" s="5" t="str">
        <f t="shared" si="1"/>
        <v>EAST</v>
      </c>
      <c r="K28" s="5" t="str">
        <f t="shared" si="2"/>
        <v>EAST</v>
      </c>
      <c r="L28" s="31"/>
      <c r="M28" s="31"/>
      <c r="N28" s="3" t="s">
        <v>20</v>
      </c>
    </row>
    <row r="29" spans="1:14" ht="14.45">
      <c r="A29" s="6">
        <v>1028</v>
      </c>
      <c r="B29" s="6" t="s">
        <v>28</v>
      </c>
      <c r="C29" s="6" t="s">
        <v>16</v>
      </c>
      <c r="D29" s="6">
        <v>2</v>
      </c>
      <c r="E29" s="6">
        <v>50000</v>
      </c>
      <c r="F29" s="6">
        <v>16400</v>
      </c>
      <c r="G29" s="27" t="str">
        <f t="shared" si="3"/>
        <v>SOUTH</v>
      </c>
      <c r="H29" s="6" t="s">
        <v>66</v>
      </c>
      <c r="I29" s="5">
        <f t="shared" si="0"/>
        <v>-43600</v>
      </c>
      <c r="J29" s="5" t="str">
        <f t="shared" si="1"/>
        <v>SOUTH</v>
      </c>
      <c r="K29" s="5" t="str">
        <f t="shared" si="2"/>
        <v>SOUTH</v>
      </c>
      <c r="L29" s="31"/>
      <c r="M29" s="31"/>
      <c r="N29" s="6" t="s">
        <v>17</v>
      </c>
    </row>
    <row r="30" spans="1:14" ht="14.45">
      <c r="A30" s="3">
        <v>1029</v>
      </c>
      <c r="B30" s="3" t="s">
        <v>67</v>
      </c>
      <c r="C30" s="3" t="s">
        <v>32</v>
      </c>
      <c r="D30" s="3">
        <v>2</v>
      </c>
      <c r="E30" s="3">
        <v>12000</v>
      </c>
      <c r="F30" s="3">
        <v>24000</v>
      </c>
      <c r="G30" s="27" t="str">
        <f t="shared" si="3"/>
        <v>WEST</v>
      </c>
      <c r="H30" s="3" t="s">
        <v>68</v>
      </c>
      <c r="I30" s="5">
        <f t="shared" si="0"/>
        <v>9600</v>
      </c>
      <c r="J30" s="5" t="str">
        <f t="shared" si="1"/>
        <v>WEST</v>
      </c>
      <c r="K30" s="5" t="str">
        <f t="shared" si="2"/>
        <v>WEST</v>
      </c>
      <c r="L30" s="31"/>
      <c r="M30" s="31"/>
      <c r="N30" s="3" t="s">
        <v>22</v>
      </c>
    </row>
    <row r="31" spans="1:14" ht="14.45">
      <c r="A31" s="6">
        <v>1030</v>
      </c>
      <c r="B31" s="6" t="s">
        <v>69</v>
      </c>
      <c r="C31" s="6" t="s">
        <v>12</v>
      </c>
      <c r="D31" s="6">
        <v>1</v>
      </c>
      <c r="E31" s="6">
        <v>70000</v>
      </c>
      <c r="F31" s="6">
        <v>70000</v>
      </c>
      <c r="G31" s="27" t="str">
        <f t="shared" si="3"/>
        <v>NORTH</v>
      </c>
      <c r="H31" s="6" t="s">
        <v>70</v>
      </c>
      <c r="I31" s="5">
        <f t="shared" si="0"/>
        <v>28000</v>
      </c>
      <c r="J31" s="5" t="str">
        <f t="shared" si="1"/>
        <v>NORTH</v>
      </c>
      <c r="K31" s="5" t="str">
        <f t="shared" si="2"/>
        <v>NORTH</v>
      </c>
      <c r="L31" s="31"/>
      <c r="M31" s="31"/>
      <c r="N31" s="6" t="s">
        <v>13</v>
      </c>
    </row>
    <row r="33" spans="2:3">
      <c r="B33" s="26" t="str">
        <f>UPPER(G2)</f>
        <v>NORTH</v>
      </c>
      <c r="C33" s="31" t="str">
        <f>TRIM(G2)</f>
        <v>NORTH</v>
      </c>
    </row>
    <row r="34" spans="2:3">
      <c r="B34" s="26" t="str">
        <f t="shared" ref="B34:B61" si="4">UPPER(G3)</f>
        <v>SOUTH</v>
      </c>
      <c r="C34" s="31" t="str">
        <f t="shared" ref="C34:C62" si="5">TRIM(G3)</f>
        <v>SOUTH</v>
      </c>
    </row>
    <row r="35" spans="2:3">
      <c r="B35" s="26" t="str">
        <f t="shared" si="4"/>
        <v>EAST</v>
      </c>
      <c r="C35" s="31" t="str">
        <f t="shared" si="5"/>
        <v>EAST</v>
      </c>
    </row>
    <row r="36" spans="2:3">
      <c r="B36" s="26" t="str">
        <f t="shared" si="4"/>
        <v>WEST</v>
      </c>
      <c r="C36" s="31" t="str">
        <f t="shared" si="5"/>
        <v>WEST</v>
      </c>
    </row>
    <row r="37" spans="2:3">
      <c r="B37" s="26" t="str">
        <f t="shared" si="4"/>
        <v>NORTH</v>
      </c>
      <c r="C37" s="31" t="str">
        <f t="shared" si="5"/>
        <v>NORTH</v>
      </c>
    </row>
    <row r="38" spans="2:3">
      <c r="B38" s="26" t="str">
        <f t="shared" si="4"/>
        <v>NULL</v>
      </c>
      <c r="C38" s="31" t="str">
        <f t="shared" si="5"/>
        <v>NULL</v>
      </c>
    </row>
    <row r="39" spans="2:3">
      <c r="B39" s="26" t="str">
        <f t="shared" si="4"/>
        <v>SOUTH</v>
      </c>
      <c r="C39" s="31" t="str">
        <f t="shared" si="5"/>
        <v>SOUTH</v>
      </c>
    </row>
    <row r="40" spans="2:3">
      <c r="B40" s="26" t="str">
        <f t="shared" si="4"/>
        <v>EAST</v>
      </c>
      <c r="C40" s="31" t="str">
        <f t="shared" si="5"/>
        <v>EAST</v>
      </c>
    </row>
    <row r="41" spans="2:3">
      <c r="B41" s="26" t="str">
        <f t="shared" si="4"/>
        <v>NORTH</v>
      </c>
      <c r="C41" s="31" t="str">
        <f t="shared" si="5"/>
        <v>NORTH</v>
      </c>
    </row>
    <row r="42" spans="2:3">
      <c r="B42" s="26" t="str">
        <f t="shared" si="4"/>
        <v>WEST</v>
      </c>
      <c r="C42" s="31" t="str">
        <f t="shared" si="5"/>
        <v>WEST</v>
      </c>
    </row>
    <row r="43" spans="2:3">
      <c r="B43" s="26" t="str">
        <f t="shared" si="4"/>
        <v>EAST</v>
      </c>
      <c r="C43" s="31" t="str">
        <f t="shared" si="5"/>
        <v>EAST</v>
      </c>
    </row>
    <row r="44" spans="2:3">
      <c r="B44" s="26" t="str">
        <f t="shared" si="4"/>
        <v>SOUTH</v>
      </c>
      <c r="C44" s="31" t="str">
        <f t="shared" si="5"/>
        <v>SOUTH</v>
      </c>
    </row>
    <row r="45" spans="2:3">
      <c r="B45" s="26" t="str">
        <f t="shared" si="4"/>
        <v>WEST</v>
      </c>
      <c r="C45" s="31" t="str">
        <f t="shared" si="5"/>
        <v>WEST</v>
      </c>
    </row>
    <row r="46" spans="2:3">
      <c r="B46" s="26" t="str">
        <f t="shared" si="4"/>
        <v>NORTH</v>
      </c>
      <c r="C46" s="31" t="str">
        <f t="shared" si="5"/>
        <v>NORTH</v>
      </c>
    </row>
    <row r="47" spans="2:3">
      <c r="B47" s="26" t="str">
        <f t="shared" si="4"/>
        <v>EAST</v>
      </c>
      <c r="C47" s="31" t="str">
        <f t="shared" si="5"/>
        <v>EAST</v>
      </c>
    </row>
    <row r="48" spans="2:3">
      <c r="B48" s="26" t="str">
        <f t="shared" si="4"/>
        <v>SOUTH</v>
      </c>
      <c r="C48" s="31" t="str">
        <f t="shared" si="5"/>
        <v>SOUTH</v>
      </c>
    </row>
    <row r="49" spans="2:3">
      <c r="B49" s="26" t="str">
        <f t="shared" si="4"/>
        <v>WEST</v>
      </c>
      <c r="C49" s="31" t="str">
        <f t="shared" si="5"/>
        <v>WEST</v>
      </c>
    </row>
    <row r="50" spans="2:3">
      <c r="B50" s="26" t="str">
        <f t="shared" si="4"/>
        <v>NORTH</v>
      </c>
      <c r="C50" s="31" t="str">
        <f t="shared" si="5"/>
        <v>NORTH</v>
      </c>
    </row>
    <row r="51" spans="2:3">
      <c r="B51" s="26" t="str">
        <f t="shared" si="4"/>
        <v>EAST</v>
      </c>
      <c r="C51" s="31" t="str">
        <f t="shared" si="5"/>
        <v>EAST</v>
      </c>
    </row>
    <row r="52" spans="2:3">
      <c r="B52" s="26" t="str">
        <f t="shared" si="4"/>
        <v>SOUTH</v>
      </c>
      <c r="C52" s="31" t="str">
        <f t="shared" si="5"/>
        <v>SOUTH</v>
      </c>
    </row>
    <row r="53" spans="2:3">
      <c r="B53" s="26" t="str">
        <f t="shared" si="4"/>
        <v>WEST</v>
      </c>
      <c r="C53" s="31" t="str">
        <f t="shared" si="5"/>
        <v>WEST</v>
      </c>
    </row>
    <row r="54" spans="2:3">
      <c r="B54" s="26" t="str">
        <f t="shared" si="4"/>
        <v>NORTH</v>
      </c>
      <c r="C54" s="31" t="str">
        <f t="shared" si="5"/>
        <v>NORTH</v>
      </c>
    </row>
    <row r="55" spans="2:3">
      <c r="B55" s="26" t="str">
        <f t="shared" si="4"/>
        <v>EAST</v>
      </c>
      <c r="C55" s="31" t="str">
        <f t="shared" si="5"/>
        <v>EAST</v>
      </c>
    </row>
    <row r="56" spans="2:3">
      <c r="B56" s="26" t="str">
        <f t="shared" si="4"/>
        <v>SOUTH</v>
      </c>
      <c r="C56" s="31" t="str">
        <f t="shared" si="5"/>
        <v>SOUTH</v>
      </c>
    </row>
    <row r="57" spans="2:3">
      <c r="B57" s="26" t="str">
        <f t="shared" si="4"/>
        <v>WEST</v>
      </c>
      <c r="C57" s="31" t="str">
        <f t="shared" si="5"/>
        <v>WEST</v>
      </c>
    </row>
    <row r="58" spans="2:3">
      <c r="B58" s="26" t="str">
        <f>UPPER(G27)</f>
        <v>NORTH</v>
      </c>
      <c r="C58" s="31" t="str">
        <f t="shared" si="5"/>
        <v>NORTH</v>
      </c>
    </row>
    <row r="59" spans="2:3">
      <c r="B59" s="26" t="str">
        <f t="shared" si="4"/>
        <v>EAST</v>
      </c>
      <c r="C59" s="31" t="str">
        <f t="shared" si="5"/>
        <v>EAST</v>
      </c>
    </row>
    <row r="60" spans="2:3">
      <c r="B60" s="26" t="str">
        <f t="shared" si="4"/>
        <v>SOUTH</v>
      </c>
      <c r="C60" s="31" t="str">
        <f t="shared" si="5"/>
        <v>SOUTH</v>
      </c>
    </row>
    <row r="61" spans="2:3">
      <c r="B61" s="26" t="str">
        <f t="shared" si="4"/>
        <v>WEST</v>
      </c>
      <c r="C61" s="31" t="str">
        <f t="shared" si="5"/>
        <v>WEST</v>
      </c>
    </row>
    <row r="62" spans="2:3">
      <c r="B62" s="26" t="str">
        <f>UPPER(G31)</f>
        <v>NORTH</v>
      </c>
      <c r="C62" s="31" t="str">
        <f t="shared" si="5"/>
        <v>NORTH</v>
      </c>
    </row>
    <row r="63" spans="2:3">
      <c r="B63" s="26" t="str">
        <f>UPPER(G32)</f>
        <v/>
      </c>
      <c r="C63" s="31"/>
    </row>
  </sheetData>
  <mergeCells count="2">
    <mergeCell ref="L2:M2"/>
    <mergeCell ref="L7:M7"/>
  </mergeCells>
  <conditionalFormatting sqref="B2:B31">
    <cfRule type="colorScale" priority="3">
      <colorScale>
        <cfvo type="min"/>
        <cfvo type="max"/>
        <color rgb="FFFF7128"/>
        <color rgb="FFFFEF9C"/>
      </colorScale>
    </cfRule>
    <cfRule type="expression" priority="4">
      <formula>ISBLANK(B2)</formula>
    </cfRule>
    <cfRule type="colorScale" priority="5">
      <colorScale>
        <cfvo type="min"/>
        <cfvo type="max"/>
        <color rgb="FFFF7128"/>
        <color rgb="FFFFEF9C"/>
      </colorScale>
    </cfRule>
  </conditionalFormatting>
  <conditionalFormatting sqref="D1:D31">
    <cfRule type="expression" dxfId="21" priority="6">
      <formula>NOT(ISERROR(SEARCH(("NULL"),(D1))))</formula>
    </cfRule>
  </conditionalFormatting>
  <conditionalFormatting sqref="D1:F31">
    <cfRule type="expression" priority="2">
      <formula>ISBLANK(B2)</formula>
    </cfRule>
  </conditionalFormatting>
  <conditionalFormatting sqref="E2:E31">
    <cfRule type="expression" dxfId="20" priority="1">
      <formula>ISBLANK(E2)</formula>
    </cfRule>
  </conditionalFormatting>
  <conditionalFormatting sqref="E2:F31">
    <cfRule type="expression" dxfId="19" priority="7">
      <formula>NOT(ISERROR(SEARCH(("NULL"),(E2))))</formula>
    </cfRule>
  </conditionalFormatting>
  <conditionalFormatting sqref="I1:I31">
    <cfRule type="cellIs" dxfId="18" priority="8" operator="greaterThan">
      <formula>5000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9972E-2BCE-43E6-B24C-A15D14BE1FFC}">
  <dimension ref="A1:M31"/>
  <sheetViews>
    <sheetView workbookViewId="0">
      <selection activeCell="L12" sqref="L12"/>
    </sheetView>
  </sheetViews>
  <sheetFormatPr defaultRowHeight="13.15"/>
  <cols>
    <col min="1" max="1" width="8.5703125" bestFit="1" customWidth="1"/>
    <col min="2" max="2" width="18.5703125" bestFit="1" customWidth="1"/>
    <col min="3" max="3" width="11.140625" bestFit="1" customWidth="1"/>
    <col min="4" max="4" width="8.28515625" bestFit="1" customWidth="1"/>
    <col min="5" max="5" width="13.5703125" bestFit="1" customWidth="1"/>
    <col min="6" max="6" width="13.28515625" bestFit="1" customWidth="1"/>
    <col min="7" max="7" width="16" bestFit="1" customWidth="1"/>
    <col min="8" max="8" width="10.7109375" bestFit="1" customWidth="1"/>
    <col min="9" max="9" width="12.7109375" bestFit="1" customWidth="1"/>
    <col min="10" max="10" width="25.7109375" bestFit="1" customWidth="1"/>
    <col min="11" max="11" width="27" bestFit="1" customWidth="1"/>
    <col min="12" max="12" width="11.85546875" bestFit="1" customWidth="1"/>
    <col min="13" max="13" width="8.28515625" bestFit="1" customWidth="1"/>
  </cols>
  <sheetData>
    <row r="1" spans="1:13" ht="14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31"/>
      <c r="M1" s="31"/>
    </row>
    <row r="2" spans="1:13" ht="14.45">
      <c r="A2" s="3">
        <v>1001</v>
      </c>
      <c r="B2" s="3" t="s">
        <v>11</v>
      </c>
      <c r="C2" s="3" t="s">
        <v>12</v>
      </c>
      <c r="D2" s="3">
        <v>3</v>
      </c>
      <c r="E2" s="3">
        <v>500</v>
      </c>
      <c r="F2" s="3">
        <v>1500</v>
      </c>
      <c r="G2" s="3" t="s">
        <v>13</v>
      </c>
      <c r="H2" s="4">
        <v>45660</v>
      </c>
      <c r="I2" s="5">
        <f t="shared" ref="I2:I31" si="0">F2-(D2*E2*0.6)</f>
        <v>600</v>
      </c>
      <c r="J2" s="5" t="str">
        <f t="shared" ref="J2:J31" si="1">TRIM(G2)</f>
        <v>North</v>
      </c>
      <c r="K2" s="5" t="str">
        <f t="shared" ref="K2:K31" si="2">UPPER(G2)</f>
        <v>NORTH</v>
      </c>
      <c r="L2" s="40" t="s">
        <v>14</v>
      </c>
      <c r="M2" s="55"/>
    </row>
    <row r="3" spans="1:13" ht="14.45">
      <c r="A3" s="6">
        <v>1002</v>
      </c>
      <c r="B3" s="6" t="s">
        <v>15</v>
      </c>
      <c r="C3" s="6" t="s">
        <v>16</v>
      </c>
      <c r="D3" s="6">
        <v>2</v>
      </c>
      <c r="E3" s="6">
        <v>800</v>
      </c>
      <c r="F3" s="6">
        <v>16400</v>
      </c>
      <c r="G3" s="6" t="s">
        <v>17</v>
      </c>
      <c r="H3" s="7">
        <v>45691</v>
      </c>
      <c r="I3" s="5">
        <f t="shared" si="0"/>
        <v>15440</v>
      </c>
      <c r="J3" s="5" t="str">
        <f t="shared" si="1"/>
        <v>South</v>
      </c>
      <c r="K3" s="5" t="str">
        <f t="shared" si="2"/>
        <v>SOUTH</v>
      </c>
      <c r="L3" s="8" t="s">
        <v>0</v>
      </c>
      <c r="M3" s="8">
        <v>1015</v>
      </c>
    </row>
    <row r="4" spans="1:13" ht="14.45">
      <c r="A4" s="3">
        <v>1003</v>
      </c>
      <c r="B4" s="3" t="s">
        <v>18</v>
      </c>
      <c r="C4" s="3" t="s">
        <v>19</v>
      </c>
      <c r="D4" s="3">
        <v>1</v>
      </c>
      <c r="E4" s="3">
        <v>3500</v>
      </c>
      <c r="F4" s="3">
        <v>3500</v>
      </c>
      <c r="G4" s="3" t="s">
        <v>20</v>
      </c>
      <c r="H4" s="4">
        <v>45719</v>
      </c>
      <c r="I4" s="5">
        <f t="shared" si="0"/>
        <v>1400</v>
      </c>
      <c r="J4" s="5" t="str">
        <f t="shared" si="1"/>
        <v>East</v>
      </c>
      <c r="K4" s="5" t="str">
        <f t="shared" si="2"/>
        <v>EAST</v>
      </c>
      <c r="L4" s="8" t="s">
        <v>5</v>
      </c>
      <c r="M4" s="9">
        <f>VLOOKUP(M3, A1:F31, 6, FALSE)</f>
        <v>5400</v>
      </c>
    </row>
    <row r="5" spans="1:13" ht="14.45">
      <c r="A5" s="6">
        <v>1004</v>
      </c>
      <c r="B5" s="6" t="s">
        <v>21</v>
      </c>
      <c r="C5" s="6" t="s">
        <v>12</v>
      </c>
      <c r="D5" s="6">
        <v>4</v>
      </c>
      <c r="E5" s="6">
        <v>12619</v>
      </c>
      <c r="F5" s="6">
        <v>16400</v>
      </c>
      <c r="G5" s="6" t="s">
        <v>22</v>
      </c>
      <c r="H5" s="7">
        <v>45750</v>
      </c>
      <c r="I5" s="5">
        <f t="shared" si="0"/>
        <v>-13885.599999999999</v>
      </c>
      <c r="J5" s="5" t="str">
        <f t="shared" si="1"/>
        <v>West</v>
      </c>
      <c r="K5" s="5" t="str">
        <f t="shared" si="2"/>
        <v>WEST</v>
      </c>
      <c r="L5" s="31"/>
      <c r="M5" s="31"/>
    </row>
    <row r="6" spans="1:13" ht="14.45">
      <c r="A6" s="3">
        <v>1005</v>
      </c>
      <c r="B6" s="3" t="s">
        <v>23</v>
      </c>
      <c r="C6" s="3" t="s">
        <v>24</v>
      </c>
      <c r="D6" s="3">
        <v>2</v>
      </c>
      <c r="E6" s="3">
        <v>2500</v>
      </c>
      <c r="F6" s="3">
        <v>5000</v>
      </c>
      <c r="G6" s="3" t="s">
        <v>13</v>
      </c>
      <c r="H6" s="4">
        <v>45780</v>
      </c>
      <c r="I6" s="5">
        <f t="shared" si="0"/>
        <v>2000</v>
      </c>
      <c r="J6" s="5" t="str">
        <f t="shared" si="1"/>
        <v>North</v>
      </c>
      <c r="K6" s="5" t="str">
        <f t="shared" si="2"/>
        <v>NORTH</v>
      </c>
      <c r="L6" s="31"/>
      <c r="M6" s="31"/>
    </row>
    <row r="7" spans="1:13" ht="14.45">
      <c r="A7" s="6">
        <v>1006</v>
      </c>
      <c r="B7" s="6" t="s">
        <v>25</v>
      </c>
      <c r="C7" s="6" t="s">
        <v>12</v>
      </c>
      <c r="D7" s="6">
        <v>2</v>
      </c>
      <c r="E7" s="6">
        <v>7000</v>
      </c>
      <c r="F7" s="6">
        <v>14000</v>
      </c>
      <c r="G7" s="6" t="s">
        <v>26</v>
      </c>
      <c r="H7" s="7">
        <v>45811</v>
      </c>
      <c r="I7" s="5">
        <f t="shared" si="0"/>
        <v>5600</v>
      </c>
      <c r="J7" s="5" t="str">
        <f t="shared" si="1"/>
        <v>NULL</v>
      </c>
      <c r="K7" s="5" t="str">
        <f t="shared" si="2"/>
        <v>NULL</v>
      </c>
      <c r="L7" s="56" t="s">
        <v>27</v>
      </c>
      <c r="M7" s="55"/>
    </row>
    <row r="8" spans="1:13" ht="14.45">
      <c r="A8" s="3">
        <v>1007</v>
      </c>
      <c r="B8" s="3" t="s">
        <v>28</v>
      </c>
      <c r="C8" s="3" t="s">
        <v>16</v>
      </c>
      <c r="D8" s="3">
        <v>1</v>
      </c>
      <c r="E8" s="3">
        <v>12619</v>
      </c>
      <c r="F8" s="3">
        <v>16400</v>
      </c>
      <c r="G8" s="3" t="s">
        <v>17</v>
      </c>
      <c r="H8" s="4">
        <v>45841</v>
      </c>
      <c r="I8" s="5">
        <f t="shared" si="0"/>
        <v>8828.6</v>
      </c>
      <c r="J8" s="5" t="str">
        <f t="shared" si="1"/>
        <v>South</v>
      </c>
      <c r="K8" s="5" t="str">
        <f t="shared" si="2"/>
        <v>SOUTH</v>
      </c>
      <c r="L8" s="8" t="s">
        <v>0</v>
      </c>
      <c r="M8" s="8">
        <v>1027</v>
      </c>
    </row>
    <row r="9" spans="1:13" ht="14.45">
      <c r="A9" s="6">
        <v>1008</v>
      </c>
      <c r="B9" s="6" t="s">
        <v>29</v>
      </c>
      <c r="C9" s="6" t="s">
        <v>19</v>
      </c>
      <c r="D9" s="6">
        <v>3</v>
      </c>
      <c r="E9" s="6">
        <v>4500</v>
      </c>
      <c r="F9" s="6">
        <v>13500</v>
      </c>
      <c r="G9" s="6" t="s">
        <v>20</v>
      </c>
      <c r="H9" s="7">
        <v>45872</v>
      </c>
      <c r="I9" s="5">
        <f t="shared" si="0"/>
        <v>5400</v>
      </c>
      <c r="J9" s="5" t="str">
        <f t="shared" si="1"/>
        <v>East</v>
      </c>
      <c r="K9" s="5" t="str">
        <f t="shared" si="2"/>
        <v>EAST</v>
      </c>
      <c r="L9" s="8" t="s">
        <v>30</v>
      </c>
      <c r="M9" s="10" t="str">
        <f t="array" ref="M9">INDEX(C1:C31, MATCH(M8, A1:A31,0))</f>
        <v>Furniture</v>
      </c>
    </row>
    <row r="10" spans="1:13" ht="14.45">
      <c r="A10" s="3">
        <v>1009</v>
      </c>
      <c r="B10" s="3" t="s">
        <v>31</v>
      </c>
      <c r="C10" s="3" t="s">
        <v>32</v>
      </c>
      <c r="D10" s="3">
        <v>2</v>
      </c>
      <c r="E10" s="3">
        <v>6000</v>
      </c>
      <c r="F10" s="3">
        <v>16400</v>
      </c>
      <c r="G10" s="3" t="s">
        <v>13</v>
      </c>
      <c r="H10" s="4">
        <v>45903</v>
      </c>
      <c r="I10" s="5">
        <f t="shared" si="0"/>
        <v>9200</v>
      </c>
      <c r="J10" s="5" t="str">
        <f t="shared" si="1"/>
        <v>North</v>
      </c>
      <c r="K10" s="5" t="str">
        <f t="shared" si="2"/>
        <v>NORTH</v>
      </c>
      <c r="L10" s="31"/>
      <c r="M10" s="31"/>
    </row>
    <row r="11" spans="1:13" ht="14.45">
      <c r="A11" s="6">
        <v>1010</v>
      </c>
      <c r="B11" s="6" t="s">
        <v>33</v>
      </c>
      <c r="C11" s="6" t="s">
        <v>16</v>
      </c>
      <c r="D11" s="6">
        <v>2</v>
      </c>
      <c r="E11" s="6">
        <v>1500</v>
      </c>
      <c r="F11" s="6">
        <v>3000</v>
      </c>
      <c r="G11" s="6" t="s">
        <v>22</v>
      </c>
      <c r="H11" s="7">
        <v>45933</v>
      </c>
      <c r="I11" s="5">
        <f t="shared" si="0"/>
        <v>1200</v>
      </c>
      <c r="J11" s="5" t="str">
        <f t="shared" si="1"/>
        <v>West</v>
      </c>
      <c r="K11" s="5" t="str">
        <f t="shared" si="2"/>
        <v>WEST</v>
      </c>
      <c r="L11" s="31"/>
      <c r="M11" s="31"/>
    </row>
    <row r="12" spans="1:13" ht="14.45">
      <c r="A12" s="3">
        <v>1011</v>
      </c>
      <c r="B12" s="3" t="s">
        <v>34</v>
      </c>
      <c r="C12" s="3" t="s">
        <v>12</v>
      </c>
      <c r="D12" s="3">
        <v>5</v>
      </c>
      <c r="E12" s="3">
        <v>12619</v>
      </c>
      <c r="F12" s="3">
        <v>16400</v>
      </c>
      <c r="G12" s="3" t="s">
        <v>20</v>
      </c>
      <c r="H12" s="4">
        <v>45964</v>
      </c>
      <c r="I12" s="5">
        <f t="shared" si="0"/>
        <v>-21457</v>
      </c>
      <c r="J12" s="5" t="str">
        <f t="shared" si="1"/>
        <v>East</v>
      </c>
      <c r="K12" s="5" t="str">
        <f t="shared" si="2"/>
        <v>EAST</v>
      </c>
      <c r="L12" s="31"/>
      <c r="M12" s="31"/>
    </row>
    <row r="13" spans="1:13" ht="14.45">
      <c r="A13" s="6">
        <v>1012</v>
      </c>
      <c r="B13" s="6" t="s">
        <v>35</v>
      </c>
      <c r="C13" s="6" t="s">
        <v>19</v>
      </c>
      <c r="D13" s="6">
        <v>1</v>
      </c>
      <c r="E13" s="6">
        <v>2200</v>
      </c>
      <c r="F13" s="6">
        <v>2200</v>
      </c>
      <c r="G13" s="6" t="s">
        <v>17</v>
      </c>
      <c r="H13" s="7">
        <v>45994</v>
      </c>
      <c r="I13" s="5">
        <f t="shared" si="0"/>
        <v>880</v>
      </c>
      <c r="J13" s="5" t="str">
        <f t="shared" si="1"/>
        <v>South</v>
      </c>
      <c r="K13" s="5" t="str">
        <f t="shared" si="2"/>
        <v>SOUTH</v>
      </c>
      <c r="L13" s="31"/>
      <c r="M13" s="31"/>
    </row>
    <row r="14" spans="1:13" ht="14.45">
      <c r="A14" s="3">
        <v>1013</v>
      </c>
      <c r="B14" s="3" t="s">
        <v>36</v>
      </c>
      <c r="C14" s="3" t="s">
        <v>32</v>
      </c>
      <c r="D14" s="3">
        <v>2</v>
      </c>
      <c r="E14" s="3">
        <v>12000</v>
      </c>
      <c r="F14" s="3">
        <v>24000</v>
      </c>
      <c r="G14" s="3" t="s">
        <v>22</v>
      </c>
      <c r="H14" s="3" t="s">
        <v>37</v>
      </c>
      <c r="I14" s="5">
        <f t="shared" si="0"/>
        <v>9600</v>
      </c>
      <c r="J14" s="5" t="str">
        <f t="shared" si="1"/>
        <v>West</v>
      </c>
      <c r="K14" s="5" t="str">
        <f t="shared" si="2"/>
        <v>WEST</v>
      </c>
      <c r="L14" s="31"/>
      <c r="M14" s="31"/>
    </row>
    <row r="15" spans="1:13" ht="14.45">
      <c r="A15" s="6">
        <v>1014</v>
      </c>
      <c r="B15" s="6" t="s">
        <v>38</v>
      </c>
      <c r="C15" s="6" t="s">
        <v>16</v>
      </c>
      <c r="D15" s="6">
        <v>2</v>
      </c>
      <c r="E15" s="6">
        <v>900</v>
      </c>
      <c r="F15" s="6">
        <v>16400</v>
      </c>
      <c r="G15" s="6" t="s">
        <v>13</v>
      </c>
      <c r="H15" s="6" t="s">
        <v>39</v>
      </c>
      <c r="I15" s="5">
        <f t="shared" si="0"/>
        <v>15320</v>
      </c>
      <c r="J15" s="5" t="str">
        <f t="shared" si="1"/>
        <v>North</v>
      </c>
      <c r="K15" s="5" t="str">
        <f t="shared" si="2"/>
        <v>NORTH</v>
      </c>
      <c r="L15" s="31"/>
      <c r="M15" s="31"/>
    </row>
    <row r="16" spans="1:13" ht="14.45">
      <c r="A16" s="3">
        <v>1015</v>
      </c>
      <c r="B16" s="3" t="s">
        <v>40</v>
      </c>
      <c r="C16" s="3" t="s">
        <v>32</v>
      </c>
      <c r="D16" s="3">
        <v>3</v>
      </c>
      <c r="E16" s="3">
        <v>1800</v>
      </c>
      <c r="F16" s="3">
        <v>5400</v>
      </c>
      <c r="G16" s="3" t="s">
        <v>20</v>
      </c>
      <c r="H16" s="3" t="s">
        <v>41</v>
      </c>
      <c r="I16" s="5">
        <f t="shared" si="0"/>
        <v>2160</v>
      </c>
      <c r="J16" s="5" t="str">
        <f t="shared" si="1"/>
        <v>East</v>
      </c>
      <c r="K16" s="5" t="str">
        <f t="shared" si="2"/>
        <v>EAST</v>
      </c>
      <c r="L16" s="31"/>
      <c r="M16" s="31"/>
    </row>
    <row r="17" spans="1:11" ht="14.45">
      <c r="A17" s="6">
        <v>1016</v>
      </c>
      <c r="B17" s="6" t="s">
        <v>42</v>
      </c>
      <c r="C17" s="6" t="s">
        <v>19</v>
      </c>
      <c r="D17" s="6">
        <v>2</v>
      </c>
      <c r="E17" s="6">
        <v>1500</v>
      </c>
      <c r="F17" s="6">
        <v>16400</v>
      </c>
      <c r="G17" s="6" t="s">
        <v>17</v>
      </c>
      <c r="H17" s="6" t="s">
        <v>43</v>
      </c>
      <c r="I17" s="5">
        <f t="shared" si="0"/>
        <v>14600</v>
      </c>
      <c r="J17" s="5" t="str">
        <f t="shared" si="1"/>
        <v>South</v>
      </c>
      <c r="K17" s="5" t="str">
        <f t="shared" si="2"/>
        <v>SOUTH</v>
      </c>
    </row>
    <row r="18" spans="1:11" ht="14.45">
      <c r="A18" s="3">
        <v>1017</v>
      </c>
      <c r="B18" s="3" t="s">
        <v>44</v>
      </c>
      <c r="C18" s="3" t="s">
        <v>45</v>
      </c>
      <c r="D18" s="3">
        <v>1</v>
      </c>
      <c r="E18" s="3">
        <v>8000</v>
      </c>
      <c r="F18" s="3">
        <v>8000</v>
      </c>
      <c r="G18" s="3" t="s">
        <v>22</v>
      </c>
      <c r="H18" s="3" t="s">
        <v>46</v>
      </c>
      <c r="I18" s="5">
        <f t="shared" si="0"/>
        <v>3200</v>
      </c>
      <c r="J18" s="5" t="str">
        <f t="shared" si="1"/>
        <v>West</v>
      </c>
      <c r="K18" s="5" t="str">
        <f t="shared" si="2"/>
        <v>WEST</v>
      </c>
    </row>
    <row r="19" spans="1:11" ht="14.45">
      <c r="A19" s="6">
        <v>1018</v>
      </c>
      <c r="B19" s="6" t="s">
        <v>47</v>
      </c>
      <c r="C19" s="6" t="s">
        <v>16</v>
      </c>
      <c r="D19" s="6">
        <v>2</v>
      </c>
      <c r="E19" s="6">
        <v>5500</v>
      </c>
      <c r="F19" s="6">
        <v>11000</v>
      </c>
      <c r="G19" s="6" t="s">
        <v>13</v>
      </c>
      <c r="H19" s="6" t="s">
        <v>48</v>
      </c>
      <c r="I19" s="5">
        <f t="shared" si="0"/>
        <v>4400</v>
      </c>
      <c r="J19" s="5" t="str">
        <f t="shared" si="1"/>
        <v>North</v>
      </c>
      <c r="K19" s="5" t="str">
        <f t="shared" si="2"/>
        <v>NORTH</v>
      </c>
    </row>
    <row r="20" spans="1:11" ht="14.45">
      <c r="A20" s="3">
        <v>1019</v>
      </c>
      <c r="B20" s="3" t="s">
        <v>49</v>
      </c>
      <c r="C20" s="3" t="s">
        <v>12</v>
      </c>
      <c r="D20" s="3">
        <v>1</v>
      </c>
      <c r="E20" s="3">
        <v>20000</v>
      </c>
      <c r="F20" s="3">
        <v>20000</v>
      </c>
      <c r="G20" s="3" t="s">
        <v>20</v>
      </c>
      <c r="H20" s="3" t="s">
        <v>50</v>
      </c>
      <c r="I20" s="5">
        <f t="shared" si="0"/>
        <v>8000</v>
      </c>
      <c r="J20" s="5" t="str">
        <f t="shared" si="1"/>
        <v>East</v>
      </c>
      <c r="K20" s="5" t="str">
        <f t="shared" si="2"/>
        <v>EAST</v>
      </c>
    </row>
    <row r="21" spans="1:11" ht="14.45">
      <c r="A21" s="6">
        <v>1020</v>
      </c>
      <c r="B21" s="6" t="s">
        <v>51</v>
      </c>
      <c r="C21" s="6" t="s">
        <v>16</v>
      </c>
      <c r="D21" s="6">
        <v>2</v>
      </c>
      <c r="E21" s="6">
        <v>1200</v>
      </c>
      <c r="F21" s="6">
        <v>16400</v>
      </c>
      <c r="G21" s="6" t="s">
        <v>17</v>
      </c>
      <c r="H21" s="6" t="s">
        <v>52</v>
      </c>
      <c r="I21" s="5">
        <f t="shared" si="0"/>
        <v>14960</v>
      </c>
      <c r="J21" s="5" t="str">
        <f t="shared" si="1"/>
        <v>South</v>
      </c>
      <c r="K21" s="5" t="str">
        <f t="shared" si="2"/>
        <v>SOUTH</v>
      </c>
    </row>
    <row r="22" spans="1:11" ht="14.45">
      <c r="A22" s="3">
        <v>1021</v>
      </c>
      <c r="B22" s="3" t="s">
        <v>53</v>
      </c>
      <c r="C22" s="3" t="s">
        <v>19</v>
      </c>
      <c r="D22" s="3">
        <v>2</v>
      </c>
      <c r="E22" s="3">
        <v>4000</v>
      </c>
      <c r="F22" s="3">
        <v>8000</v>
      </c>
      <c r="G22" s="3" t="s">
        <v>22</v>
      </c>
      <c r="H22" s="3" t="s">
        <v>54</v>
      </c>
      <c r="I22" s="5">
        <f t="shared" si="0"/>
        <v>3200</v>
      </c>
      <c r="J22" s="5" t="str">
        <f t="shared" si="1"/>
        <v>West</v>
      </c>
      <c r="K22" s="5" t="str">
        <f t="shared" si="2"/>
        <v>WEST</v>
      </c>
    </row>
    <row r="23" spans="1:11" ht="14.45">
      <c r="A23" s="6">
        <v>1022</v>
      </c>
      <c r="B23" s="6" t="s">
        <v>55</v>
      </c>
      <c r="C23" s="6" t="s">
        <v>12</v>
      </c>
      <c r="D23" s="6">
        <v>2</v>
      </c>
      <c r="E23" s="6">
        <v>15000</v>
      </c>
      <c r="F23" s="6">
        <v>16400</v>
      </c>
      <c r="G23" s="6" t="s">
        <v>13</v>
      </c>
      <c r="H23" s="6" t="s">
        <v>56</v>
      </c>
      <c r="I23" s="5">
        <f t="shared" si="0"/>
        <v>-1600</v>
      </c>
      <c r="J23" s="5" t="str">
        <f t="shared" si="1"/>
        <v>North</v>
      </c>
      <c r="K23" s="5" t="str">
        <f t="shared" si="2"/>
        <v>NORTH</v>
      </c>
    </row>
    <row r="24" spans="1:11" ht="14.45">
      <c r="A24" s="3">
        <v>1023</v>
      </c>
      <c r="B24" s="3" t="s">
        <v>57</v>
      </c>
      <c r="C24" s="3" t="s">
        <v>32</v>
      </c>
      <c r="D24" s="3">
        <v>1</v>
      </c>
      <c r="E24" s="3">
        <v>2500</v>
      </c>
      <c r="F24" s="3">
        <v>2500</v>
      </c>
      <c r="G24" s="3" t="s">
        <v>20</v>
      </c>
      <c r="H24" s="3" t="s">
        <v>58</v>
      </c>
      <c r="I24" s="5">
        <f t="shared" si="0"/>
        <v>1000</v>
      </c>
      <c r="J24" s="5" t="str">
        <f t="shared" si="1"/>
        <v>East</v>
      </c>
      <c r="K24" s="5" t="str">
        <f t="shared" si="2"/>
        <v>EAST</v>
      </c>
    </row>
    <row r="25" spans="1:11" ht="14.45">
      <c r="A25" s="6">
        <v>1024</v>
      </c>
      <c r="B25" s="6" t="s">
        <v>38</v>
      </c>
      <c r="C25" s="6" t="s">
        <v>16</v>
      </c>
      <c r="D25" s="6">
        <v>3</v>
      </c>
      <c r="E25" s="6">
        <v>12619</v>
      </c>
      <c r="F25" s="6">
        <v>16400</v>
      </c>
      <c r="G25" s="6" t="s">
        <v>17</v>
      </c>
      <c r="H25" s="6" t="s">
        <v>59</v>
      </c>
      <c r="I25" s="5">
        <f t="shared" si="0"/>
        <v>-6314.2000000000007</v>
      </c>
      <c r="J25" s="5" t="str">
        <f t="shared" si="1"/>
        <v>South</v>
      </c>
      <c r="K25" s="5" t="str">
        <f t="shared" si="2"/>
        <v>SOUTH</v>
      </c>
    </row>
    <row r="26" spans="1:11" ht="14.45">
      <c r="A26" s="3">
        <v>1025</v>
      </c>
      <c r="B26" s="3" t="s">
        <v>60</v>
      </c>
      <c r="C26" s="3" t="s">
        <v>12</v>
      </c>
      <c r="D26" s="3">
        <v>1</v>
      </c>
      <c r="E26" s="3">
        <v>40000</v>
      </c>
      <c r="F26" s="3">
        <v>40000</v>
      </c>
      <c r="G26" s="3" t="s">
        <v>22</v>
      </c>
      <c r="H26" s="3" t="s">
        <v>61</v>
      </c>
      <c r="I26" s="5">
        <f t="shared" si="0"/>
        <v>16000</v>
      </c>
      <c r="J26" s="5" t="str">
        <f t="shared" si="1"/>
        <v>West</v>
      </c>
      <c r="K26" s="5" t="str">
        <f t="shared" si="2"/>
        <v>WEST</v>
      </c>
    </row>
    <row r="27" spans="1:11" ht="14.45">
      <c r="A27" s="6">
        <v>1026</v>
      </c>
      <c r="B27" s="6" t="s">
        <v>62</v>
      </c>
      <c r="C27" s="6" t="s">
        <v>19</v>
      </c>
      <c r="D27" s="6">
        <v>5</v>
      </c>
      <c r="E27" s="6">
        <v>200</v>
      </c>
      <c r="F27" s="6">
        <v>1000</v>
      </c>
      <c r="G27" s="6" t="s">
        <v>13</v>
      </c>
      <c r="H27" s="6" t="s">
        <v>63</v>
      </c>
      <c r="I27" s="5">
        <f t="shared" si="0"/>
        <v>400</v>
      </c>
      <c r="J27" s="5" t="str">
        <f t="shared" si="1"/>
        <v>North</v>
      </c>
      <c r="K27" s="5" t="str">
        <f t="shared" si="2"/>
        <v>NORTH</v>
      </c>
    </row>
    <row r="28" spans="1:11" ht="14.45">
      <c r="A28" s="3">
        <v>1027</v>
      </c>
      <c r="B28" s="3" t="s">
        <v>64</v>
      </c>
      <c r="C28" s="3" t="s">
        <v>45</v>
      </c>
      <c r="D28" s="3">
        <v>1</v>
      </c>
      <c r="E28" s="3">
        <v>55000</v>
      </c>
      <c r="F28" s="3">
        <v>55000</v>
      </c>
      <c r="G28" s="3" t="s">
        <v>20</v>
      </c>
      <c r="H28" s="3" t="s">
        <v>65</v>
      </c>
      <c r="I28" s="5">
        <f t="shared" si="0"/>
        <v>22000</v>
      </c>
      <c r="J28" s="5" t="str">
        <f t="shared" si="1"/>
        <v>East</v>
      </c>
      <c r="K28" s="5" t="str">
        <f t="shared" si="2"/>
        <v>EAST</v>
      </c>
    </row>
    <row r="29" spans="1:11" ht="14.45">
      <c r="A29" s="6">
        <v>1028</v>
      </c>
      <c r="B29" s="6" t="s">
        <v>28</v>
      </c>
      <c r="C29" s="6" t="s">
        <v>16</v>
      </c>
      <c r="D29" s="6">
        <v>2</v>
      </c>
      <c r="E29" s="6">
        <v>50000</v>
      </c>
      <c r="F29" s="6">
        <v>16400</v>
      </c>
      <c r="G29" s="6" t="s">
        <v>17</v>
      </c>
      <c r="H29" s="6" t="s">
        <v>66</v>
      </c>
      <c r="I29" s="5">
        <f t="shared" si="0"/>
        <v>-43600</v>
      </c>
      <c r="J29" s="5" t="str">
        <f t="shared" si="1"/>
        <v>South</v>
      </c>
      <c r="K29" s="5" t="str">
        <f t="shared" si="2"/>
        <v>SOUTH</v>
      </c>
    </row>
    <row r="30" spans="1:11" ht="14.45">
      <c r="A30" s="3">
        <v>1029</v>
      </c>
      <c r="B30" s="3" t="s">
        <v>67</v>
      </c>
      <c r="C30" s="3" t="s">
        <v>32</v>
      </c>
      <c r="D30" s="3">
        <v>2</v>
      </c>
      <c r="E30" s="3">
        <v>12000</v>
      </c>
      <c r="F30" s="3">
        <v>24000</v>
      </c>
      <c r="G30" s="3" t="s">
        <v>22</v>
      </c>
      <c r="H30" s="3" t="s">
        <v>68</v>
      </c>
      <c r="I30" s="5">
        <f t="shared" si="0"/>
        <v>9600</v>
      </c>
      <c r="J30" s="5" t="str">
        <f t="shared" si="1"/>
        <v>West</v>
      </c>
      <c r="K30" s="5" t="str">
        <f t="shared" si="2"/>
        <v>WEST</v>
      </c>
    </row>
    <row r="31" spans="1:11" ht="14.45">
      <c r="A31" s="6">
        <v>1030</v>
      </c>
      <c r="B31" s="6" t="s">
        <v>69</v>
      </c>
      <c r="C31" s="6" t="s">
        <v>12</v>
      </c>
      <c r="D31" s="6">
        <v>1</v>
      </c>
      <c r="E31" s="6">
        <v>70000</v>
      </c>
      <c r="F31" s="6">
        <v>70000</v>
      </c>
      <c r="G31" s="6" t="s">
        <v>13</v>
      </c>
      <c r="H31" s="6" t="s">
        <v>70</v>
      </c>
      <c r="I31" s="5">
        <f t="shared" si="0"/>
        <v>28000</v>
      </c>
      <c r="J31" s="5" t="str">
        <f t="shared" si="1"/>
        <v>North</v>
      </c>
      <c r="K31" s="5" t="str">
        <f t="shared" si="2"/>
        <v>NORTH</v>
      </c>
    </row>
  </sheetData>
  <mergeCells count="2">
    <mergeCell ref="L2:M2"/>
    <mergeCell ref="L7:M7"/>
  </mergeCells>
  <conditionalFormatting sqref="D1:D31">
    <cfRule type="expression" dxfId="17" priority="1">
      <formula>NOT(ISERROR(SEARCH(("NULL"),(D1))))</formula>
    </cfRule>
  </conditionalFormatting>
  <conditionalFormatting sqref="E2:F31">
    <cfRule type="expression" dxfId="16" priority="2">
      <formula>NOT(ISERROR(SEARCH(("NULL"),(E2))))</formula>
    </cfRule>
  </conditionalFormatting>
  <conditionalFormatting sqref="I1:I31">
    <cfRule type="cellIs" dxfId="15" priority="3" operator="greaterThan">
      <formula>5000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E9143-63EA-4E66-8D27-83D0AC5BE211}">
  <dimension ref="A3:D10"/>
  <sheetViews>
    <sheetView workbookViewId="0">
      <selection activeCell="D11" sqref="D11"/>
    </sheetView>
  </sheetViews>
  <sheetFormatPr defaultRowHeight="13.15"/>
  <cols>
    <col min="1" max="1" width="13.28515625" bestFit="1" customWidth="1"/>
    <col min="2" max="2" width="20" bestFit="1" customWidth="1"/>
  </cols>
  <sheetData>
    <row r="3" spans="1:4">
      <c r="A3" s="29" t="s">
        <v>121</v>
      </c>
      <c r="B3" s="31" t="s">
        <v>122</v>
      </c>
      <c r="C3" s="31"/>
      <c r="D3" s="31"/>
    </row>
    <row r="4" spans="1:4">
      <c r="A4" s="30" t="s">
        <v>20</v>
      </c>
      <c r="B4" s="31">
        <v>116300</v>
      </c>
      <c r="C4" s="31"/>
      <c r="D4" s="31"/>
    </row>
    <row r="5" spans="1:4">
      <c r="A5" s="30" t="s">
        <v>13</v>
      </c>
      <c r="B5" s="31">
        <v>137700</v>
      </c>
      <c r="C5" s="31"/>
      <c r="D5" s="31">
        <f>MAX(B4:B9)</f>
        <v>137700</v>
      </c>
    </row>
    <row r="6" spans="1:4">
      <c r="A6" s="30" t="s">
        <v>26</v>
      </c>
      <c r="B6" s="31">
        <v>14000</v>
      </c>
      <c r="C6" s="31"/>
      <c r="D6" s="31"/>
    </row>
    <row r="7" spans="1:4">
      <c r="A7" s="30" t="s">
        <v>17</v>
      </c>
      <c r="B7" s="31">
        <v>100600</v>
      </c>
      <c r="C7" s="31"/>
      <c r="D7" s="31"/>
    </row>
    <row r="8" spans="1:4">
      <c r="A8" s="30" t="s">
        <v>22</v>
      </c>
      <c r="B8" s="31">
        <v>123400</v>
      </c>
      <c r="C8" s="31"/>
      <c r="D8" s="31"/>
    </row>
    <row r="9" spans="1:4">
      <c r="A9" s="30" t="s">
        <v>123</v>
      </c>
      <c r="B9" s="31"/>
      <c r="C9" s="31"/>
      <c r="D9" s="31"/>
    </row>
    <row r="10" spans="1:4">
      <c r="A10" s="30" t="s">
        <v>124</v>
      </c>
      <c r="B10" s="31">
        <v>492000</v>
      </c>
      <c r="C10" s="31"/>
      <c r="D10" s="31"/>
    </row>
  </sheetData>
  <conditionalFormatting sqref="B3:B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{CD07A313-8C54-4C97-A5F9-CC14C670728F}</x14:id>
        </ext>
      </extLst>
    </cfRule>
    <cfRule type="top10" dxfId="14" priority="2" rank="1"/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D07A313-8C54-4C97-A5F9-CC14C670728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B3:B9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9C22F-B5DF-4099-8729-A165F8544E47}">
  <dimension ref="A1:M35"/>
  <sheetViews>
    <sheetView topLeftCell="A18" workbookViewId="0">
      <selection activeCell="E37" sqref="E37"/>
    </sheetView>
  </sheetViews>
  <sheetFormatPr defaultRowHeight="13.15"/>
  <cols>
    <col min="1" max="1" width="8.5703125" bestFit="1" customWidth="1"/>
    <col min="2" max="2" width="18.5703125" bestFit="1" customWidth="1"/>
    <col min="3" max="3" width="11.140625" bestFit="1" customWidth="1"/>
    <col min="4" max="4" width="8.28515625" bestFit="1" customWidth="1"/>
    <col min="5" max="5" width="13.5703125" bestFit="1" customWidth="1"/>
    <col min="6" max="6" width="13.28515625" bestFit="1" customWidth="1"/>
    <col min="7" max="7" width="16" bestFit="1" customWidth="1"/>
    <col min="8" max="8" width="10.7109375" bestFit="1" customWidth="1"/>
    <col min="9" max="9" width="12.7109375" bestFit="1" customWidth="1"/>
    <col min="10" max="10" width="25.7109375" bestFit="1" customWidth="1"/>
    <col min="11" max="11" width="27" bestFit="1" customWidth="1"/>
    <col min="12" max="12" width="11.85546875" bestFit="1" customWidth="1"/>
    <col min="13" max="13" width="8.28515625" bestFit="1" customWidth="1"/>
  </cols>
  <sheetData>
    <row r="1" spans="1:13" ht="14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31"/>
      <c r="M1" s="31"/>
    </row>
    <row r="2" spans="1:13" ht="14.45">
      <c r="A2" s="3">
        <v>1001</v>
      </c>
      <c r="B2" s="3" t="s">
        <v>11</v>
      </c>
      <c r="C2" s="3" t="s">
        <v>12</v>
      </c>
      <c r="D2" s="3">
        <v>3</v>
      </c>
      <c r="E2" s="3">
        <v>500</v>
      </c>
      <c r="F2" s="3">
        <v>1500</v>
      </c>
      <c r="G2" s="3" t="s">
        <v>13</v>
      </c>
      <c r="H2" s="4">
        <v>45660</v>
      </c>
      <c r="I2" s="5">
        <f t="shared" ref="I2:I31" si="0">F2-(D2*E2*0.6)</f>
        <v>600</v>
      </c>
      <c r="J2" s="5" t="str">
        <f t="shared" ref="J2:J31" si="1">TRIM(G2)</f>
        <v>North</v>
      </c>
      <c r="K2" s="5" t="str">
        <f t="shared" ref="K2:K31" si="2">UPPER(G2)</f>
        <v>NORTH</v>
      </c>
      <c r="L2" s="40" t="s">
        <v>14</v>
      </c>
      <c r="M2" s="55"/>
    </row>
    <row r="3" spans="1:13" ht="14.45">
      <c r="A3" s="6">
        <v>1002</v>
      </c>
      <c r="B3" s="6" t="s">
        <v>15</v>
      </c>
      <c r="C3" s="6" t="s">
        <v>16</v>
      </c>
      <c r="D3" s="6">
        <v>2</v>
      </c>
      <c r="E3" s="6">
        <v>800</v>
      </c>
      <c r="F3" s="6">
        <v>16400</v>
      </c>
      <c r="G3" s="6" t="s">
        <v>17</v>
      </c>
      <c r="H3" s="7">
        <v>45691</v>
      </c>
      <c r="I3" s="5">
        <f t="shared" si="0"/>
        <v>15440</v>
      </c>
      <c r="J3" s="5" t="str">
        <f t="shared" si="1"/>
        <v>South</v>
      </c>
      <c r="K3" s="5" t="str">
        <f t="shared" si="2"/>
        <v>SOUTH</v>
      </c>
      <c r="L3" s="8" t="s">
        <v>0</v>
      </c>
      <c r="M3" s="8">
        <v>1015</v>
      </c>
    </row>
    <row r="4" spans="1:13" ht="14.45">
      <c r="A4" s="3">
        <v>1003</v>
      </c>
      <c r="B4" s="3" t="s">
        <v>18</v>
      </c>
      <c r="C4" s="3" t="s">
        <v>19</v>
      </c>
      <c r="D4" s="3">
        <v>1</v>
      </c>
      <c r="E4" s="3">
        <v>3500</v>
      </c>
      <c r="F4" s="3">
        <v>3500</v>
      </c>
      <c r="G4" s="3" t="s">
        <v>20</v>
      </c>
      <c r="H4" s="4">
        <v>45719</v>
      </c>
      <c r="I4" s="5">
        <f t="shared" si="0"/>
        <v>1400</v>
      </c>
      <c r="J4" s="5" t="str">
        <f t="shared" si="1"/>
        <v>East</v>
      </c>
      <c r="K4" s="5" t="str">
        <f t="shared" si="2"/>
        <v>EAST</v>
      </c>
      <c r="L4" s="8" t="s">
        <v>5</v>
      </c>
      <c r="M4" s="9">
        <f>VLOOKUP(M3, A1:F31, 6, FALSE)</f>
        <v>5400</v>
      </c>
    </row>
    <row r="5" spans="1:13" ht="14.45">
      <c r="A5" s="6">
        <v>1004</v>
      </c>
      <c r="B5" s="6" t="s">
        <v>21</v>
      </c>
      <c r="C5" s="6" t="s">
        <v>12</v>
      </c>
      <c r="D5" s="6">
        <v>4</v>
      </c>
      <c r="E5" s="6">
        <v>12619</v>
      </c>
      <c r="F5" s="6">
        <v>16400</v>
      </c>
      <c r="G5" s="6" t="s">
        <v>22</v>
      </c>
      <c r="H5" s="7">
        <v>45750</v>
      </c>
      <c r="I5" s="5">
        <f t="shared" si="0"/>
        <v>-13885.599999999999</v>
      </c>
      <c r="J5" s="5" t="str">
        <f t="shared" si="1"/>
        <v>West</v>
      </c>
      <c r="K5" s="5" t="str">
        <f t="shared" si="2"/>
        <v>WEST</v>
      </c>
      <c r="L5" s="31"/>
      <c r="M5" s="31"/>
    </row>
    <row r="6" spans="1:13" ht="14.45">
      <c r="A6" s="3">
        <v>1005</v>
      </c>
      <c r="B6" s="3" t="s">
        <v>23</v>
      </c>
      <c r="C6" s="3" t="s">
        <v>24</v>
      </c>
      <c r="D6" s="3">
        <v>2</v>
      </c>
      <c r="E6" s="3">
        <v>2500</v>
      </c>
      <c r="F6" s="3">
        <v>5000</v>
      </c>
      <c r="G6" s="3" t="s">
        <v>13</v>
      </c>
      <c r="H6" s="4">
        <v>45780</v>
      </c>
      <c r="I6" s="5">
        <f t="shared" si="0"/>
        <v>2000</v>
      </c>
      <c r="J6" s="5" t="str">
        <f t="shared" si="1"/>
        <v>North</v>
      </c>
      <c r="K6" s="5" t="str">
        <f t="shared" si="2"/>
        <v>NORTH</v>
      </c>
      <c r="L6" s="31"/>
      <c r="M6" s="31"/>
    </row>
    <row r="7" spans="1:13" ht="14.45">
      <c r="A7" s="6">
        <v>1006</v>
      </c>
      <c r="B7" s="6" t="s">
        <v>25</v>
      </c>
      <c r="C7" s="6" t="s">
        <v>12</v>
      </c>
      <c r="D7" s="6">
        <v>2</v>
      </c>
      <c r="E7" s="6">
        <v>7000</v>
      </c>
      <c r="F7" s="6">
        <v>14000</v>
      </c>
      <c r="G7" s="6" t="s">
        <v>26</v>
      </c>
      <c r="H7" s="7">
        <v>45811</v>
      </c>
      <c r="I7" s="5">
        <f t="shared" si="0"/>
        <v>5600</v>
      </c>
      <c r="J7" s="5" t="str">
        <f t="shared" si="1"/>
        <v>NULL</v>
      </c>
      <c r="K7" s="5" t="str">
        <f t="shared" si="2"/>
        <v>NULL</v>
      </c>
      <c r="L7" s="56" t="s">
        <v>27</v>
      </c>
      <c r="M7" s="55"/>
    </row>
    <row r="8" spans="1:13" ht="14.45">
      <c r="A8" s="3">
        <v>1007</v>
      </c>
      <c r="B8" s="3" t="s">
        <v>28</v>
      </c>
      <c r="C8" s="3" t="s">
        <v>16</v>
      </c>
      <c r="D8" s="3">
        <v>1</v>
      </c>
      <c r="E8" s="3">
        <v>12619</v>
      </c>
      <c r="F8" s="3">
        <v>16400</v>
      </c>
      <c r="G8" s="3" t="s">
        <v>17</v>
      </c>
      <c r="H8" s="4">
        <v>45841</v>
      </c>
      <c r="I8" s="5">
        <f t="shared" si="0"/>
        <v>8828.6</v>
      </c>
      <c r="J8" s="5" t="str">
        <f t="shared" si="1"/>
        <v>South</v>
      </c>
      <c r="K8" s="5" t="str">
        <f t="shared" si="2"/>
        <v>SOUTH</v>
      </c>
      <c r="L8" s="8" t="s">
        <v>0</v>
      </c>
      <c r="M8" s="8">
        <v>1027</v>
      </c>
    </row>
    <row r="9" spans="1:13" ht="14.45">
      <c r="A9" s="6">
        <v>1008</v>
      </c>
      <c r="B9" s="6" t="s">
        <v>29</v>
      </c>
      <c r="C9" s="6" t="s">
        <v>19</v>
      </c>
      <c r="D9" s="6">
        <v>3</v>
      </c>
      <c r="E9" s="6">
        <v>4500</v>
      </c>
      <c r="F9" s="6">
        <v>13500</v>
      </c>
      <c r="G9" s="6" t="s">
        <v>20</v>
      </c>
      <c r="H9" s="7">
        <v>45872</v>
      </c>
      <c r="I9" s="5">
        <f t="shared" si="0"/>
        <v>5400</v>
      </c>
      <c r="J9" s="5" t="str">
        <f t="shared" si="1"/>
        <v>East</v>
      </c>
      <c r="K9" s="5" t="str">
        <f t="shared" si="2"/>
        <v>EAST</v>
      </c>
      <c r="L9" s="8" t="s">
        <v>30</v>
      </c>
      <c r="M9" s="10" t="str">
        <f t="array" ref="M9">INDEX(C1:C31, MATCH(M8, A1:A31,0))</f>
        <v>Furniture</v>
      </c>
    </row>
    <row r="10" spans="1:13" ht="14.45">
      <c r="A10" s="3">
        <v>1009</v>
      </c>
      <c r="B10" s="3" t="s">
        <v>31</v>
      </c>
      <c r="C10" s="3" t="s">
        <v>32</v>
      </c>
      <c r="D10" s="3">
        <v>2</v>
      </c>
      <c r="E10" s="3">
        <v>6000</v>
      </c>
      <c r="F10" s="3">
        <v>16400</v>
      </c>
      <c r="G10" s="3" t="s">
        <v>13</v>
      </c>
      <c r="H10" s="4">
        <v>45903</v>
      </c>
      <c r="I10" s="5">
        <f t="shared" si="0"/>
        <v>9200</v>
      </c>
      <c r="J10" s="5" t="str">
        <f t="shared" si="1"/>
        <v>North</v>
      </c>
      <c r="K10" s="5" t="str">
        <f t="shared" si="2"/>
        <v>NORTH</v>
      </c>
      <c r="L10" s="31"/>
      <c r="M10" s="31"/>
    </row>
    <row r="11" spans="1:13" ht="14.45">
      <c r="A11" s="6">
        <v>1010</v>
      </c>
      <c r="B11" s="6" t="s">
        <v>33</v>
      </c>
      <c r="C11" s="6" t="s">
        <v>16</v>
      </c>
      <c r="D11" s="6">
        <v>2</v>
      </c>
      <c r="E11" s="6">
        <v>1500</v>
      </c>
      <c r="F11" s="6">
        <v>3000</v>
      </c>
      <c r="G11" s="6" t="s">
        <v>22</v>
      </c>
      <c r="H11" s="7">
        <v>45933</v>
      </c>
      <c r="I11" s="5">
        <f t="shared" si="0"/>
        <v>1200</v>
      </c>
      <c r="J11" s="5" t="str">
        <f t="shared" si="1"/>
        <v>West</v>
      </c>
      <c r="K11" s="5" t="str">
        <f t="shared" si="2"/>
        <v>WEST</v>
      </c>
      <c r="L11" s="31"/>
      <c r="M11" s="31"/>
    </row>
    <row r="12" spans="1:13" ht="14.45">
      <c r="A12" s="3">
        <v>1011</v>
      </c>
      <c r="B12" s="3" t="s">
        <v>34</v>
      </c>
      <c r="C12" s="3" t="s">
        <v>12</v>
      </c>
      <c r="D12" s="3">
        <v>5</v>
      </c>
      <c r="E12" s="3">
        <v>12619</v>
      </c>
      <c r="F12" s="3">
        <v>16400</v>
      </c>
      <c r="G12" s="3" t="s">
        <v>20</v>
      </c>
      <c r="H12" s="4">
        <v>45964</v>
      </c>
      <c r="I12" s="5">
        <f t="shared" si="0"/>
        <v>-21457</v>
      </c>
      <c r="J12" s="5" t="str">
        <f t="shared" si="1"/>
        <v>East</v>
      </c>
      <c r="K12" s="5" t="str">
        <f t="shared" si="2"/>
        <v>EAST</v>
      </c>
      <c r="L12" s="31"/>
      <c r="M12" s="31"/>
    </row>
    <row r="13" spans="1:13" ht="14.45">
      <c r="A13" s="6">
        <v>1012</v>
      </c>
      <c r="B13" s="6" t="s">
        <v>35</v>
      </c>
      <c r="C13" s="6" t="s">
        <v>19</v>
      </c>
      <c r="D13" s="6">
        <v>1</v>
      </c>
      <c r="E13" s="6">
        <v>2200</v>
      </c>
      <c r="F13" s="6">
        <v>2200</v>
      </c>
      <c r="G13" s="6" t="s">
        <v>17</v>
      </c>
      <c r="H13" s="7">
        <v>45994</v>
      </c>
      <c r="I13" s="5">
        <f t="shared" si="0"/>
        <v>880</v>
      </c>
      <c r="J13" s="5" t="str">
        <f t="shared" si="1"/>
        <v>South</v>
      </c>
      <c r="K13" s="5" t="str">
        <f t="shared" si="2"/>
        <v>SOUTH</v>
      </c>
      <c r="L13" s="31"/>
      <c r="M13" s="31"/>
    </row>
    <row r="14" spans="1:13" ht="14.45">
      <c r="A14" s="3">
        <v>1013</v>
      </c>
      <c r="B14" s="3" t="s">
        <v>36</v>
      </c>
      <c r="C14" s="3" t="s">
        <v>32</v>
      </c>
      <c r="D14" s="3">
        <v>2</v>
      </c>
      <c r="E14" s="3">
        <v>12000</v>
      </c>
      <c r="F14" s="3">
        <v>24000</v>
      </c>
      <c r="G14" s="3" t="s">
        <v>22</v>
      </c>
      <c r="H14" s="3" t="s">
        <v>37</v>
      </c>
      <c r="I14" s="5">
        <f t="shared" si="0"/>
        <v>9600</v>
      </c>
      <c r="J14" s="5" t="str">
        <f t="shared" si="1"/>
        <v>West</v>
      </c>
      <c r="K14" s="5" t="str">
        <f t="shared" si="2"/>
        <v>WEST</v>
      </c>
      <c r="L14" s="31"/>
      <c r="M14" s="31"/>
    </row>
    <row r="15" spans="1:13" ht="14.45">
      <c r="A15" s="6">
        <v>1014</v>
      </c>
      <c r="B15" s="6" t="s">
        <v>38</v>
      </c>
      <c r="C15" s="6" t="s">
        <v>16</v>
      </c>
      <c r="D15" s="6">
        <v>2</v>
      </c>
      <c r="E15" s="6">
        <v>900</v>
      </c>
      <c r="F15" s="6">
        <v>16400</v>
      </c>
      <c r="G15" s="6" t="s">
        <v>13</v>
      </c>
      <c r="H15" s="6" t="s">
        <v>39</v>
      </c>
      <c r="I15" s="5">
        <f t="shared" si="0"/>
        <v>15320</v>
      </c>
      <c r="J15" s="5" t="str">
        <f t="shared" si="1"/>
        <v>North</v>
      </c>
      <c r="K15" s="5" t="str">
        <f t="shared" si="2"/>
        <v>NORTH</v>
      </c>
      <c r="L15" s="31"/>
      <c r="M15" s="31"/>
    </row>
    <row r="16" spans="1:13" ht="14.45">
      <c r="A16" s="3">
        <v>1015</v>
      </c>
      <c r="B16" s="3" t="s">
        <v>40</v>
      </c>
      <c r="C16" s="3" t="s">
        <v>32</v>
      </c>
      <c r="D16" s="3">
        <v>3</v>
      </c>
      <c r="E16" s="3">
        <v>1800</v>
      </c>
      <c r="F16" s="3">
        <v>5400</v>
      </c>
      <c r="G16" s="3" t="s">
        <v>20</v>
      </c>
      <c r="H16" s="3" t="s">
        <v>41</v>
      </c>
      <c r="I16" s="5">
        <f t="shared" si="0"/>
        <v>2160</v>
      </c>
      <c r="J16" s="5" t="str">
        <f t="shared" si="1"/>
        <v>East</v>
      </c>
      <c r="K16" s="5" t="str">
        <f t="shared" si="2"/>
        <v>EAST</v>
      </c>
      <c r="L16" s="31"/>
      <c r="M16" s="31"/>
    </row>
    <row r="17" spans="1:11" ht="14.45">
      <c r="A17" s="6">
        <v>1016</v>
      </c>
      <c r="B17" s="6" t="s">
        <v>42</v>
      </c>
      <c r="C17" s="6" t="s">
        <v>19</v>
      </c>
      <c r="D17" s="6">
        <v>2</v>
      </c>
      <c r="E17" s="6">
        <v>1500</v>
      </c>
      <c r="F17" s="6">
        <v>16400</v>
      </c>
      <c r="G17" s="6" t="s">
        <v>17</v>
      </c>
      <c r="H17" s="6" t="s">
        <v>43</v>
      </c>
      <c r="I17" s="5">
        <f t="shared" si="0"/>
        <v>14600</v>
      </c>
      <c r="J17" s="5" t="str">
        <f t="shared" si="1"/>
        <v>South</v>
      </c>
      <c r="K17" s="5" t="str">
        <f t="shared" si="2"/>
        <v>SOUTH</v>
      </c>
    </row>
    <row r="18" spans="1:11" ht="14.45">
      <c r="A18" s="3">
        <v>1017</v>
      </c>
      <c r="B18" s="3" t="s">
        <v>44</v>
      </c>
      <c r="C18" s="3" t="s">
        <v>45</v>
      </c>
      <c r="D18" s="3">
        <v>1</v>
      </c>
      <c r="E18" s="3">
        <v>8000</v>
      </c>
      <c r="F18" s="3">
        <v>8000</v>
      </c>
      <c r="G18" s="3" t="s">
        <v>22</v>
      </c>
      <c r="H18" s="3" t="s">
        <v>46</v>
      </c>
      <c r="I18" s="5">
        <f t="shared" si="0"/>
        <v>3200</v>
      </c>
      <c r="J18" s="5" t="str">
        <f t="shared" si="1"/>
        <v>West</v>
      </c>
      <c r="K18" s="5" t="str">
        <f t="shared" si="2"/>
        <v>WEST</v>
      </c>
    </row>
    <row r="19" spans="1:11" ht="14.45">
      <c r="A19" s="6">
        <v>1018</v>
      </c>
      <c r="B19" s="6" t="s">
        <v>47</v>
      </c>
      <c r="C19" s="6" t="s">
        <v>16</v>
      </c>
      <c r="D19" s="6">
        <v>2</v>
      </c>
      <c r="E19" s="6">
        <v>5500</v>
      </c>
      <c r="F19" s="6">
        <v>11000</v>
      </c>
      <c r="G19" s="6" t="s">
        <v>13</v>
      </c>
      <c r="H19" s="6" t="s">
        <v>48</v>
      </c>
      <c r="I19" s="5">
        <f t="shared" si="0"/>
        <v>4400</v>
      </c>
      <c r="J19" s="5" t="str">
        <f t="shared" si="1"/>
        <v>North</v>
      </c>
      <c r="K19" s="5" t="str">
        <f t="shared" si="2"/>
        <v>NORTH</v>
      </c>
    </row>
    <row r="20" spans="1:11" ht="14.45">
      <c r="A20" s="3">
        <v>1019</v>
      </c>
      <c r="B20" s="3" t="s">
        <v>49</v>
      </c>
      <c r="C20" s="3" t="s">
        <v>12</v>
      </c>
      <c r="D20" s="3">
        <v>1</v>
      </c>
      <c r="E20" s="3">
        <v>20000</v>
      </c>
      <c r="F20" s="3">
        <v>20000</v>
      </c>
      <c r="G20" s="3" t="s">
        <v>20</v>
      </c>
      <c r="H20" s="3" t="s">
        <v>50</v>
      </c>
      <c r="I20" s="5">
        <f t="shared" si="0"/>
        <v>8000</v>
      </c>
      <c r="J20" s="5" t="str">
        <f t="shared" si="1"/>
        <v>East</v>
      </c>
      <c r="K20" s="5" t="str">
        <f t="shared" si="2"/>
        <v>EAST</v>
      </c>
    </row>
    <row r="21" spans="1:11" ht="14.45">
      <c r="A21" s="6">
        <v>1020</v>
      </c>
      <c r="B21" s="6" t="s">
        <v>51</v>
      </c>
      <c r="C21" s="6" t="s">
        <v>16</v>
      </c>
      <c r="D21" s="6">
        <v>2</v>
      </c>
      <c r="E21" s="6">
        <v>1200</v>
      </c>
      <c r="F21" s="6">
        <v>16400</v>
      </c>
      <c r="G21" s="6" t="s">
        <v>17</v>
      </c>
      <c r="H21" s="6" t="s">
        <v>52</v>
      </c>
      <c r="I21" s="5">
        <f t="shared" si="0"/>
        <v>14960</v>
      </c>
      <c r="J21" s="5" t="str">
        <f t="shared" si="1"/>
        <v>South</v>
      </c>
      <c r="K21" s="5" t="str">
        <f t="shared" si="2"/>
        <v>SOUTH</v>
      </c>
    </row>
    <row r="22" spans="1:11" ht="14.45">
      <c r="A22" s="3">
        <v>1021</v>
      </c>
      <c r="B22" s="3" t="s">
        <v>53</v>
      </c>
      <c r="C22" s="3" t="s">
        <v>19</v>
      </c>
      <c r="D22" s="3">
        <v>2</v>
      </c>
      <c r="E22" s="3">
        <v>4000</v>
      </c>
      <c r="F22" s="3">
        <v>8000</v>
      </c>
      <c r="G22" s="3" t="s">
        <v>22</v>
      </c>
      <c r="H22" s="3" t="s">
        <v>54</v>
      </c>
      <c r="I22" s="5">
        <f t="shared" si="0"/>
        <v>3200</v>
      </c>
      <c r="J22" s="5" t="str">
        <f t="shared" si="1"/>
        <v>West</v>
      </c>
      <c r="K22" s="5" t="str">
        <f t="shared" si="2"/>
        <v>WEST</v>
      </c>
    </row>
    <row r="23" spans="1:11" ht="14.45">
      <c r="A23" s="6">
        <v>1022</v>
      </c>
      <c r="B23" s="6" t="s">
        <v>55</v>
      </c>
      <c r="C23" s="6" t="s">
        <v>12</v>
      </c>
      <c r="D23" s="6">
        <v>2</v>
      </c>
      <c r="E23" s="6">
        <v>15000</v>
      </c>
      <c r="F23" s="6">
        <v>16400</v>
      </c>
      <c r="G23" s="6" t="s">
        <v>13</v>
      </c>
      <c r="H23" s="6" t="s">
        <v>56</v>
      </c>
      <c r="I23" s="5">
        <f t="shared" si="0"/>
        <v>-1600</v>
      </c>
      <c r="J23" s="5" t="str">
        <f t="shared" si="1"/>
        <v>North</v>
      </c>
      <c r="K23" s="5" t="str">
        <f t="shared" si="2"/>
        <v>NORTH</v>
      </c>
    </row>
    <row r="24" spans="1:11" ht="14.45">
      <c r="A24" s="3">
        <v>1023</v>
      </c>
      <c r="B24" s="3" t="s">
        <v>57</v>
      </c>
      <c r="C24" s="3" t="s">
        <v>32</v>
      </c>
      <c r="D24" s="3">
        <v>1</v>
      </c>
      <c r="E24" s="3">
        <v>2500</v>
      </c>
      <c r="F24" s="3">
        <v>2500</v>
      </c>
      <c r="G24" s="3" t="s">
        <v>20</v>
      </c>
      <c r="H24" s="3" t="s">
        <v>58</v>
      </c>
      <c r="I24" s="5">
        <f t="shared" si="0"/>
        <v>1000</v>
      </c>
      <c r="J24" s="5" t="str">
        <f t="shared" si="1"/>
        <v>East</v>
      </c>
      <c r="K24" s="5" t="str">
        <f t="shared" si="2"/>
        <v>EAST</v>
      </c>
    </row>
    <row r="25" spans="1:11" ht="14.45">
      <c r="A25" s="6">
        <v>1024</v>
      </c>
      <c r="B25" s="6" t="s">
        <v>38</v>
      </c>
      <c r="C25" s="6" t="s">
        <v>16</v>
      </c>
      <c r="D25" s="6">
        <v>3</v>
      </c>
      <c r="E25" s="6">
        <v>12619</v>
      </c>
      <c r="F25" s="6">
        <v>16400</v>
      </c>
      <c r="G25" s="6" t="s">
        <v>17</v>
      </c>
      <c r="H25" s="6" t="s">
        <v>59</v>
      </c>
      <c r="I25" s="5">
        <f t="shared" si="0"/>
        <v>-6314.2000000000007</v>
      </c>
      <c r="J25" s="5" t="str">
        <f t="shared" si="1"/>
        <v>South</v>
      </c>
      <c r="K25" s="5" t="str">
        <f t="shared" si="2"/>
        <v>SOUTH</v>
      </c>
    </row>
    <row r="26" spans="1:11" ht="14.45">
      <c r="A26" s="3">
        <v>1025</v>
      </c>
      <c r="B26" s="3" t="s">
        <v>60</v>
      </c>
      <c r="C26" s="3" t="s">
        <v>12</v>
      </c>
      <c r="D26" s="3">
        <v>1</v>
      </c>
      <c r="E26" s="3">
        <v>40000</v>
      </c>
      <c r="F26" s="3">
        <v>40000</v>
      </c>
      <c r="G26" s="3" t="s">
        <v>22</v>
      </c>
      <c r="H26" s="3" t="s">
        <v>61</v>
      </c>
      <c r="I26" s="5">
        <f t="shared" si="0"/>
        <v>16000</v>
      </c>
      <c r="J26" s="5" t="str">
        <f t="shared" si="1"/>
        <v>West</v>
      </c>
      <c r="K26" s="5" t="str">
        <f t="shared" si="2"/>
        <v>WEST</v>
      </c>
    </row>
    <row r="27" spans="1:11" ht="14.45">
      <c r="A27" s="6">
        <v>1026</v>
      </c>
      <c r="B27" s="6" t="s">
        <v>62</v>
      </c>
      <c r="C27" s="6" t="s">
        <v>19</v>
      </c>
      <c r="D27" s="6">
        <v>5</v>
      </c>
      <c r="E27" s="6">
        <v>200</v>
      </c>
      <c r="F27" s="6">
        <v>1000</v>
      </c>
      <c r="G27" s="6" t="s">
        <v>13</v>
      </c>
      <c r="H27" s="6" t="s">
        <v>63</v>
      </c>
      <c r="I27" s="5">
        <f t="shared" si="0"/>
        <v>400</v>
      </c>
      <c r="J27" s="5" t="str">
        <f t="shared" si="1"/>
        <v>North</v>
      </c>
      <c r="K27" s="5" t="str">
        <f t="shared" si="2"/>
        <v>NORTH</v>
      </c>
    </row>
    <row r="28" spans="1:11" ht="14.45">
      <c r="A28" s="3">
        <v>1027</v>
      </c>
      <c r="B28" s="3" t="s">
        <v>64</v>
      </c>
      <c r="C28" s="3" t="s">
        <v>45</v>
      </c>
      <c r="D28" s="3">
        <v>1</v>
      </c>
      <c r="E28" s="3">
        <v>55000</v>
      </c>
      <c r="F28" s="3">
        <v>55000</v>
      </c>
      <c r="G28" s="3" t="s">
        <v>20</v>
      </c>
      <c r="H28" s="3" t="s">
        <v>65</v>
      </c>
      <c r="I28" s="5">
        <f t="shared" si="0"/>
        <v>22000</v>
      </c>
      <c r="J28" s="5" t="str">
        <f t="shared" si="1"/>
        <v>East</v>
      </c>
      <c r="K28" s="5" t="str">
        <f t="shared" si="2"/>
        <v>EAST</v>
      </c>
    </row>
    <row r="29" spans="1:11" ht="14.45">
      <c r="A29" s="6">
        <v>1028</v>
      </c>
      <c r="B29" s="6" t="s">
        <v>28</v>
      </c>
      <c r="C29" s="6" t="s">
        <v>16</v>
      </c>
      <c r="D29" s="6">
        <v>2</v>
      </c>
      <c r="E29" s="6">
        <v>50000</v>
      </c>
      <c r="F29" s="6">
        <v>16400</v>
      </c>
      <c r="G29" s="6" t="s">
        <v>17</v>
      </c>
      <c r="H29" s="6" t="s">
        <v>66</v>
      </c>
      <c r="I29" s="5">
        <f t="shared" si="0"/>
        <v>-43600</v>
      </c>
      <c r="J29" s="5" t="str">
        <f t="shared" si="1"/>
        <v>South</v>
      </c>
      <c r="K29" s="5" t="str">
        <f t="shared" si="2"/>
        <v>SOUTH</v>
      </c>
    </row>
    <row r="30" spans="1:11" ht="14.45">
      <c r="A30" s="3">
        <v>1029</v>
      </c>
      <c r="B30" s="3" t="s">
        <v>67</v>
      </c>
      <c r="C30" s="3" t="s">
        <v>32</v>
      </c>
      <c r="D30" s="3">
        <v>2</v>
      </c>
      <c r="E30" s="3">
        <v>12000</v>
      </c>
      <c r="F30" s="3">
        <v>24000</v>
      </c>
      <c r="G30" s="3" t="s">
        <v>22</v>
      </c>
      <c r="H30" s="3" t="s">
        <v>68</v>
      </c>
      <c r="I30" s="5">
        <f t="shared" si="0"/>
        <v>9600</v>
      </c>
      <c r="J30" s="5" t="str">
        <f t="shared" si="1"/>
        <v>West</v>
      </c>
      <c r="K30" s="5" t="str">
        <f t="shared" si="2"/>
        <v>WEST</v>
      </c>
    </row>
    <row r="31" spans="1:11" ht="14.45">
      <c r="A31" s="6">
        <v>1030</v>
      </c>
      <c r="B31" s="6" t="s">
        <v>69</v>
      </c>
      <c r="C31" s="6" t="s">
        <v>12</v>
      </c>
      <c r="D31" s="6">
        <v>1</v>
      </c>
      <c r="E31" s="6">
        <v>70000</v>
      </c>
      <c r="F31" s="6">
        <v>70000</v>
      </c>
      <c r="G31" s="6" t="s">
        <v>13</v>
      </c>
      <c r="H31" s="6" t="s">
        <v>70</v>
      </c>
      <c r="I31" s="5">
        <f t="shared" si="0"/>
        <v>28000</v>
      </c>
      <c r="J31" s="5" t="str">
        <f t="shared" si="1"/>
        <v>North</v>
      </c>
      <c r="K31" s="5" t="str">
        <f t="shared" si="2"/>
        <v>NORTH</v>
      </c>
    </row>
    <row r="34" spans="3:6">
      <c r="C34" s="31"/>
      <c r="D34" s="31">
        <f>VLOOKUP(A14,A2:A2:F31,6,)</f>
        <v>24000</v>
      </c>
      <c r="E34" s="31"/>
      <c r="F34" s="31" t="str">
        <f>INDEX(C2:C31,MATCH(A16,A2:A33,))</f>
        <v>Appliances</v>
      </c>
    </row>
    <row r="35" spans="3:6">
      <c r="C35" s="31">
        <f>VLOOKUP(1015, A2:F1000, 6, FALSE)</f>
        <v>5400</v>
      </c>
      <c r="D35" s="31"/>
      <c r="E35" s="31" t="str">
        <f>INDEX(C2:C31,MATCH(A18,A2:A31,0))</f>
        <v>Furniture</v>
      </c>
      <c r="F35" s="31"/>
    </row>
  </sheetData>
  <mergeCells count="2">
    <mergeCell ref="L2:M2"/>
    <mergeCell ref="L7:M7"/>
  </mergeCells>
  <conditionalFormatting sqref="D1:D31">
    <cfRule type="expression" dxfId="13" priority="1">
      <formula>NOT(ISERROR(SEARCH(("NULL"),(D1))))</formula>
    </cfRule>
  </conditionalFormatting>
  <conditionalFormatting sqref="E2:F31">
    <cfRule type="expression" dxfId="12" priority="2">
      <formula>NOT(ISERROR(SEARCH(("NULL"),(E2))))</formula>
    </cfRule>
  </conditionalFormatting>
  <conditionalFormatting sqref="I1:I31">
    <cfRule type="cellIs" dxfId="11" priority="3" operator="greaterThan">
      <formula>5000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71F6B-3369-4660-8313-4E67F4BF0A39}">
  <dimension ref="A1:M31"/>
  <sheetViews>
    <sheetView topLeftCell="A29" workbookViewId="0">
      <selection activeCell="D54" sqref="D54"/>
    </sheetView>
  </sheetViews>
  <sheetFormatPr defaultRowHeight="13.15"/>
  <cols>
    <col min="1" max="1" width="8.5703125" bestFit="1" customWidth="1"/>
    <col min="2" max="2" width="18.5703125" bestFit="1" customWidth="1"/>
    <col min="3" max="3" width="11.140625" bestFit="1" customWidth="1"/>
    <col min="4" max="4" width="8.28515625" bestFit="1" customWidth="1"/>
    <col min="5" max="5" width="13.5703125" bestFit="1" customWidth="1"/>
    <col min="6" max="6" width="13.28515625" bestFit="1" customWidth="1"/>
    <col min="7" max="7" width="16" bestFit="1" customWidth="1"/>
    <col min="8" max="8" width="10.7109375" bestFit="1" customWidth="1"/>
    <col min="9" max="9" width="12.7109375" bestFit="1" customWidth="1"/>
    <col min="10" max="10" width="25.7109375" bestFit="1" customWidth="1"/>
    <col min="11" max="11" width="27" bestFit="1" customWidth="1"/>
    <col min="12" max="12" width="11.85546875" bestFit="1" customWidth="1"/>
    <col min="13" max="13" width="8.28515625" bestFit="1" customWidth="1"/>
  </cols>
  <sheetData>
    <row r="1" spans="1:13" ht="14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31"/>
      <c r="M1" s="31"/>
    </row>
    <row r="2" spans="1:13" ht="14.45">
      <c r="A2" s="3">
        <v>1001</v>
      </c>
      <c r="B2" s="3" t="s">
        <v>11</v>
      </c>
      <c r="C2" s="3" t="s">
        <v>12</v>
      </c>
      <c r="D2" s="3">
        <v>3</v>
      </c>
      <c r="E2" s="3">
        <v>500</v>
      </c>
      <c r="F2" s="3">
        <v>1500</v>
      </c>
      <c r="G2" s="3" t="s">
        <v>13</v>
      </c>
      <c r="H2" s="4">
        <v>45660</v>
      </c>
      <c r="I2" s="5">
        <f t="shared" ref="I2:I31" si="0">F2-(D2*E2*0.6)</f>
        <v>600</v>
      </c>
      <c r="J2" s="5" t="str">
        <f t="shared" ref="J2:J31" si="1">TRIM(G2)</f>
        <v>North</v>
      </c>
      <c r="K2" s="5" t="str">
        <f t="shared" ref="K2:K31" si="2">UPPER(G2)</f>
        <v>NORTH</v>
      </c>
      <c r="L2" s="40" t="s">
        <v>14</v>
      </c>
      <c r="M2" s="55"/>
    </row>
    <row r="3" spans="1:13" ht="14.45">
      <c r="A3" s="6">
        <v>1002</v>
      </c>
      <c r="B3" s="6" t="s">
        <v>15</v>
      </c>
      <c r="C3" s="6" t="s">
        <v>16</v>
      </c>
      <c r="D3" s="6">
        <v>2</v>
      </c>
      <c r="E3" s="6">
        <v>800</v>
      </c>
      <c r="F3" s="6">
        <v>16400</v>
      </c>
      <c r="G3" s="6" t="s">
        <v>17</v>
      </c>
      <c r="H3" s="7">
        <v>45691</v>
      </c>
      <c r="I3" s="5">
        <f t="shared" si="0"/>
        <v>15440</v>
      </c>
      <c r="J3" s="5" t="str">
        <f t="shared" si="1"/>
        <v>South</v>
      </c>
      <c r="K3" s="5" t="str">
        <f t="shared" si="2"/>
        <v>SOUTH</v>
      </c>
      <c r="L3" s="8" t="s">
        <v>0</v>
      </c>
      <c r="M3" s="8">
        <v>1015</v>
      </c>
    </row>
    <row r="4" spans="1:13" ht="14.45">
      <c r="A4" s="3">
        <v>1003</v>
      </c>
      <c r="B4" s="3" t="s">
        <v>18</v>
      </c>
      <c r="C4" s="3" t="s">
        <v>19</v>
      </c>
      <c r="D4" s="3">
        <v>1</v>
      </c>
      <c r="E4" s="3">
        <v>3500</v>
      </c>
      <c r="F4" s="3">
        <v>3500</v>
      </c>
      <c r="G4" s="3" t="s">
        <v>20</v>
      </c>
      <c r="H4" s="4">
        <v>45719</v>
      </c>
      <c r="I4" s="5">
        <f t="shared" si="0"/>
        <v>1400</v>
      </c>
      <c r="J4" s="5" t="str">
        <f t="shared" si="1"/>
        <v>East</v>
      </c>
      <c r="K4" s="5" t="str">
        <f t="shared" si="2"/>
        <v>EAST</v>
      </c>
      <c r="L4" s="8" t="s">
        <v>5</v>
      </c>
      <c r="M4" s="9">
        <f>VLOOKUP(M3, A1:F31, 6, FALSE)</f>
        <v>5400</v>
      </c>
    </row>
    <row r="5" spans="1:13" ht="14.45">
      <c r="A5" s="6">
        <v>1004</v>
      </c>
      <c r="B5" s="6" t="s">
        <v>21</v>
      </c>
      <c r="C5" s="6" t="s">
        <v>12</v>
      </c>
      <c r="D5" s="6">
        <v>4</v>
      </c>
      <c r="E5" s="6">
        <v>12619</v>
      </c>
      <c r="F5" s="6">
        <v>16400</v>
      </c>
      <c r="G5" s="6" t="s">
        <v>22</v>
      </c>
      <c r="H5" s="7">
        <v>45750</v>
      </c>
      <c r="I5" s="5">
        <f t="shared" si="0"/>
        <v>-13885.599999999999</v>
      </c>
      <c r="J5" s="5" t="str">
        <f t="shared" si="1"/>
        <v>West</v>
      </c>
      <c r="K5" s="5" t="str">
        <f t="shared" si="2"/>
        <v>WEST</v>
      </c>
      <c r="L5" s="31"/>
      <c r="M5" s="31"/>
    </row>
    <row r="6" spans="1:13" ht="14.45">
      <c r="A6" s="3">
        <v>1005</v>
      </c>
      <c r="B6" s="3" t="s">
        <v>23</v>
      </c>
      <c r="C6" s="3" t="s">
        <v>24</v>
      </c>
      <c r="D6" s="3">
        <v>2</v>
      </c>
      <c r="E6" s="3">
        <v>2500</v>
      </c>
      <c r="F6" s="3">
        <v>5000</v>
      </c>
      <c r="G6" s="3" t="s">
        <v>13</v>
      </c>
      <c r="H6" s="4">
        <v>45780</v>
      </c>
      <c r="I6" s="5">
        <f t="shared" si="0"/>
        <v>2000</v>
      </c>
      <c r="J6" s="5" t="str">
        <f t="shared" si="1"/>
        <v>North</v>
      </c>
      <c r="K6" s="5" t="str">
        <f t="shared" si="2"/>
        <v>NORTH</v>
      </c>
      <c r="L6" s="31"/>
      <c r="M6" s="31"/>
    </row>
    <row r="7" spans="1:13" ht="14.45">
      <c r="A7" s="6">
        <v>1006</v>
      </c>
      <c r="B7" s="6" t="s">
        <v>25</v>
      </c>
      <c r="C7" s="6" t="s">
        <v>12</v>
      </c>
      <c r="D7" s="6">
        <v>2</v>
      </c>
      <c r="E7" s="6">
        <v>7000</v>
      </c>
      <c r="F7" s="6">
        <v>14000</v>
      </c>
      <c r="G7" s="6" t="s">
        <v>26</v>
      </c>
      <c r="H7" s="7">
        <v>45811</v>
      </c>
      <c r="I7" s="5">
        <f t="shared" si="0"/>
        <v>5600</v>
      </c>
      <c r="J7" s="5" t="str">
        <f t="shared" si="1"/>
        <v>NULL</v>
      </c>
      <c r="K7" s="5" t="str">
        <f t="shared" si="2"/>
        <v>NULL</v>
      </c>
      <c r="L7" s="56" t="s">
        <v>27</v>
      </c>
      <c r="M7" s="55"/>
    </row>
    <row r="8" spans="1:13" ht="14.45">
      <c r="A8" s="3">
        <v>1007</v>
      </c>
      <c r="B8" s="3" t="s">
        <v>28</v>
      </c>
      <c r="C8" s="3" t="s">
        <v>16</v>
      </c>
      <c r="D8" s="3">
        <v>1</v>
      </c>
      <c r="E8" s="3">
        <v>12619</v>
      </c>
      <c r="F8" s="3">
        <v>16400</v>
      </c>
      <c r="G8" s="3" t="s">
        <v>17</v>
      </c>
      <c r="H8" s="4">
        <v>45841</v>
      </c>
      <c r="I8" s="5">
        <f t="shared" si="0"/>
        <v>8828.6</v>
      </c>
      <c r="J8" s="5" t="str">
        <f t="shared" si="1"/>
        <v>South</v>
      </c>
      <c r="K8" s="5" t="str">
        <f t="shared" si="2"/>
        <v>SOUTH</v>
      </c>
      <c r="L8" s="8" t="s">
        <v>0</v>
      </c>
      <c r="M8" s="8">
        <v>1027</v>
      </c>
    </row>
    <row r="9" spans="1:13" ht="14.45">
      <c r="A9" s="6">
        <v>1008</v>
      </c>
      <c r="B9" s="6" t="s">
        <v>29</v>
      </c>
      <c r="C9" s="6" t="s">
        <v>19</v>
      </c>
      <c r="D9" s="6">
        <v>3</v>
      </c>
      <c r="E9" s="6">
        <v>4500</v>
      </c>
      <c r="F9" s="6">
        <v>13500</v>
      </c>
      <c r="G9" s="6" t="s">
        <v>20</v>
      </c>
      <c r="H9" s="7">
        <v>45872</v>
      </c>
      <c r="I9" s="5">
        <f t="shared" si="0"/>
        <v>5400</v>
      </c>
      <c r="J9" s="5" t="str">
        <f t="shared" si="1"/>
        <v>East</v>
      </c>
      <c r="K9" s="5" t="str">
        <f t="shared" si="2"/>
        <v>EAST</v>
      </c>
      <c r="L9" s="8" t="s">
        <v>30</v>
      </c>
      <c r="M9" s="10" t="str">
        <f t="array" ref="M9">INDEX(C1:C31, MATCH(M8, A1:A31,0))</f>
        <v>Furniture</v>
      </c>
    </row>
    <row r="10" spans="1:13" ht="14.45">
      <c r="A10" s="3">
        <v>1009</v>
      </c>
      <c r="B10" s="3" t="s">
        <v>31</v>
      </c>
      <c r="C10" s="3" t="s">
        <v>32</v>
      </c>
      <c r="D10" s="3">
        <v>2</v>
      </c>
      <c r="E10" s="3">
        <v>6000</v>
      </c>
      <c r="F10" s="3">
        <v>16400</v>
      </c>
      <c r="G10" s="3" t="s">
        <v>13</v>
      </c>
      <c r="H10" s="4">
        <v>45903</v>
      </c>
      <c r="I10" s="5">
        <f t="shared" si="0"/>
        <v>9200</v>
      </c>
      <c r="J10" s="5" t="str">
        <f t="shared" si="1"/>
        <v>North</v>
      </c>
      <c r="K10" s="5" t="str">
        <f t="shared" si="2"/>
        <v>NORTH</v>
      </c>
      <c r="L10" s="31"/>
      <c r="M10" s="31"/>
    </row>
    <row r="11" spans="1:13" ht="14.45">
      <c r="A11" s="6">
        <v>1010</v>
      </c>
      <c r="B11" s="6" t="s">
        <v>33</v>
      </c>
      <c r="C11" s="6" t="s">
        <v>16</v>
      </c>
      <c r="D11" s="6">
        <v>2</v>
      </c>
      <c r="E11" s="6">
        <v>1500</v>
      </c>
      <c r="F11" s="6">
        <v>3000</v>
      </c>
      <c r="G11" s="6" t="s">
        <v>22</v>
      </c>
      <c r="H11" s="7">
        <v>45933</v>
      </c>
      <c r="I11" s="5">
        <f t="shared" si="0"/>
        <v>1200</v>
      </c>
      <c r="J11" s="5" t="str">
        <f t="shared" si="1"/>
        <v>West</v>
      </c>
      <c r="K11" s="5" t="str">
        <f t="shared" si="2"/>
        <v>WEST</v>
      </c>
      <c r="L11" s="31"/>
      <c r="M11" s="31"/>
    </row>
    <row r="12" spans="1:13" ht="14.45">
      <c r="A12" s="3">
        <v>1011</v>
      </c>
      <c r="B12" s="3" t="s">
        <v>34</v>
      </c>
      <c r="C12" s="3" t="s">
        <v>12</v>
      </c>
      <c r="D12" s="3">
        <v>5</v>
      </c>
      <c r="E12" s="3">
        <v>12619</v>
      </c>
      <c r="F12" s="3">
        <v>16400</v>
      </c>
      <c r="G12" s="3" t="s">
        <v>20</v>
      </c>
      <c r="H12" s="4">
        <v>45964</v>
      </c>
      <c r="I12" s="5">
        <f t="shared" si="0"/>
        <v>-21457</v>
      </c>
      <c r="J12" s="5" t="str">
        <f t="shared" si="1"/>
        <v>East</v>
      </c>
      <c r="K12" s="5" t="str">
        <f t="shared" si="2"/>
        <v>EAST</v>
      </c>
      <c r="L12" s="31"/>
      <c r="M12" s="31"/>
    </row>
    <row r="13" spans="1:13" ht="14.45">
      <c r="A13" s="6">
        <v>1012</v>
      </c>
      <c r="B13" s="6" t="s">
        <v>35</v>
      </c>
      <c r="C13" s="6" t="s">
        <v>19</v>
      </c>
      <c r="D13" s="6">
        <v>1</v>
      </c>
      <c r="E13" s="6">
        <v>2200</v>
      </c>
      <c r="F13" s="6">
        <v>2200</v>
      </c>
      <c r="G13" s="6" t="s">
        <v>17</v>
      </c>
      <c r="H13" s="7">
        <v>45994</v>
      </c>
      <c r="I13" s="5">
        <f t="shared" si="0"/>
        <v>880</v>
      </c>
      <c r="J13" s="5" t="str">
        <f t="shared" si="1"/>
        <v>South</v>
      </c>
      <c r="K13" s="5" t="str">
        <f t="shared" si="2"/>
        <v>SOUTH</v>
      </c>
      <c r="L13" s="31"/>
      <c r="M13" s="31"/>
    </row>
    <row r="14" spans="1:13" ht="14.45">
      <c r="A14" s="3">
        <v>1013</v>
      </c>
      <c r="B14" s="3" t="s">
        <v>36</v>
      </c>
      <c r="C14" s="3" t="s">
        <v>32</v>
      </c>
      <c r="D14" s="3">
        <v>2</v>
      </c>
      <c r="E14" s="3">
        <v>12000</v>
      </c>
      <c r="F14" s="3">
        <v>24000</v>
      </c>
      <c r="G14" s="3" t="s">
        <v>22</v>
      </c>
      <c r="H14" s="3" t="s">
        <v>37</v>
      </c>
      <c r="I14" s="5">
        <f t="shared" si="0"/>
        <v>9600</v>
      </c>
      <c r="J14" s="5" t="str">
        <f t="shared" si="1"/>
        <v>West</v>
      </c>
      <c r="K14" s="5" t="str">
        <f t="shared" si="2"/>
        <v>WEST</v>
      </c>
      <c r="L14" s="31"/>
      <c r="M14" s="31"/>
    </row>
    <row r="15" spans="1:13" ht="14.45">
      <c r="A15" s="6">
        <v>1014</v>
      </c>
      <c r="B15" s="6" t="s">
        <v>38</v>
      </c>
      <c r="C15" s="6" t="s">
        <v>16</v>
      </c>
      <c r="D15" s="6">
        <v>2</v>
      </c>
      <c r="E15" s="6">
        <v>900</v>
      </c>
      <c r="F15" s="6">
        <v>16400</v>
      </c>
      <c r="G15" s="6" t="s">
        <v>13</v>
      </c>
      <c r="H15" s="6" t="s">
        <v>39</v>
      </c>
      <c r="I15" s="5">
        <f t="shared" si="0"/>
        <v>15320</v>
      </c>
      <c r="J15" s="5" t="str">
        <f t="shared" si="1"/>
        <v>North</v>
      </c>
      <c r="K15" s="5" t="str">
        <f t="shared" si="2"/>
        <v>NORTH</v>
      </c>
      <c r="L15" s="31"/>
      <c r="M15" s="31"/>
    </row>
    <row r="16" spans="1:13" ht="14.45">
      <c r="A16" s="3">
        <v>1015</v>
      </c>
      <c r="B16" s="3" t="s">
        <v>40</v>
      </c>
      <c r="C16" s="3" t="s">
        <v>32</v>
      </c>
      <c r="D16" s="3">
        <v>3</v>
      </c>
      <c r="E16" s="3">
        <v>1800</v>
      </c>
      <c r="F16" s="3">
        <v>5400</v>
      </c>
      <c r="G16" s="3" t="s">
        <v>20</v>
      </c>
      <c r="H16" s="3" t="s">
        <v>41</v>
      </c>
      <c r="I16" s="5">
        <f t="shared" si="0"/>
        <v>2160</v>
      </c>
      <c r="J16" s="5" t="str">
        <f t="shared" si="1"/>
        <v>East</v>
      </c>
      <c r="K16" s="5" t="str">
        <f t="shared" si="2"/>
        <v>EAST</v>
      </c>
      <c r="L16" s="31"/>
      <c r="M16" s="31"/>
    </row>
    <row r="17" spans="1:11" ht="14.45">
      <c r="A17" s="6">
        <v>1016</v>
      </c>
      <c r="B17" s="6" t="s">
        <v>42</v>
      </c>
      <c r="C17" s="6" t="s">
        <v>19</v>
      </c>
      <c r="D17" s="6">
        <v>2</v>
      </c>
      <c r="E17" s="6">
        <v>1500</v>
      </c>
      <c r="F17" s="6">
        <v>16400</v>
      </c>
      <c r="G17" s="6" t="s">
        <v>17</v>
      </c>
      <c r="H17" s="6" t="s">
        <v>43</v>
      </c>
      <c r="I17" s="5">
        <f t="shared" si="0"/>
        <v>14600</v>
      </c>
      <c r="J17" s="5" t="str">
        <f t="shared" si="1"/>
        <v>South</v>
      </c>
      <c r="K17" s="5" t="str">
        <f t="shared" si="2"/>
        <v>SOUTH</v>
      </c>
    </row>
    <row r="18" spans="1:11" ht="14.45">
      <c r="A18" s="3">
        <v>1017</v>
      </c>
      <c r="B18" s="3" t="s">
        <v>44</v>
      </c>
      <c r="C18" s="3" t="s">
        <v>45</v>
      </c>
      <c r="D18" s="3">
        <v>1</v>
      </c>
      <c r="E18" s="3">
        <v>8000</v>
      </c>
      <c r="F18" s="3">
        <v>8000</v>
      </c>
      <c r="G18" s="3" t="s">
        <v>22</v>
      </c>
      <c r="H18" s="3" t="s">
        <v>46</v>
      </c>
      <c r="I18" s="5">
        <f t="shared" si="0"/>
        <v>3200</v>
      </c>
      <c r="J18" s="5" t="str">
        <f t="shared" si="1"/>
        <v>West</v>
      </c>
      <c r="K18" s="5" t="str">
        <f t="shared" si="2"/>
        <v>WEST</v>
      </c>
    </row>
    <row r="19" spans="1:11" ht="14.45">
      <c r="A19" s="6">
        <v>1018</v>
      </c>
      <c r="B19" s="6" t="s">
        <v>47</v>
      </c>
      <c r="C19" s="6" t="s">
        <v>16</v>
      </c>
      <c r="D19" s="6">
        <v>2</v>
      </c>
      <c r="E19" s="6">
        <v>5500</v>
      </c>
      <c r="F19" s="6">
        <v>11000</v>
      </c>
      <c r="G19" s="6" t="s">
        <v>13</v>
      </c>
      <c r="H19" s="6" t="s">
        <v>48</v>
      </c>
      <c r="I19" s="5">
        <f t="shared" si="0"/>
        <v>4400</v>
      </c>
      <c r="J19" s="5" t="str">
        <f t="shared" si="1"/>
        <v>North</v>
      </c>
      <c r="K19" s="5" t="str">
        <f t="shared" si="2"/>
        <v>NORTH</v>
      </c>
    </row>
    <row r="20" spans="1:11" ht="14.45">
      <c r="A20" s="3">
        <v>1019</v>
      </c>
      <c r="B20" s="3" t="s">
        <v>49</v>
      </c>
      <c r="C20" s="3" t="s">
        <v>12</v>
      </c>
      <c r="D20" s="3">
        <v>1</v>
      </c>
      <c r="E20" s="3">
        <v>20000</v>
      </c>
      <c r="F20" s="3">
        <v>20000</v>
      </c>
      <c r="G20" s="3" t="s">
        <v>20</v>
      </c>
      <c r="H20" s="3" t="s">
        <v>50</v>
      </c>
      <c r="I20" s="5">
        <f t="shared" si="0"/>
        <v>8000</v>
      </c>
      <c r="J20" s="5" t="str">
        <f t="shared" si="1"/>
        <v>East</v>
      </c>
      <c r="K20" s="5" t="str">
        <f t="shared" si="2"/>
        <v>EAST</v>
      </c>
    </row>
    <row r="21" spans="1:11" ht="14.45">
      <c r="A21" s="6">
        <v>1020</v>
      </c>
      <c r="B21" s="6" t="s">
        <v>51</v>
      </c>
      <c r="C21" s="6" t="s">
        <v>16</v>
      </c>
      <c r="D21" s="6">
        <v>2</v>
      </c>
      <c r="E21" s="6">
        <v>1200</v>
      </c>
      <c r="F21" s="6">
        <v>16400</v>
      </c>
      <c r="G21" s="6" t="s">
        <v>17</v>
      </c>
      <c r="H21" s="6" t="s">
        <v>52</v>
      </c>
      <c r="I21" s="5">
        <f t="shared" si="0"/>
        <v>14960</v>
      </c>
      <c r="J21" s="5" t="str">
        <f t="shared" si="1"/>
        <v>South</v>
      </c>
      <c r="K21" s="5" t="str">
        <f t="shared" si="2"/>
        <v>SOUTH</v>
      </c>
    </row>
    <row r="22" spans="1:11" ht="14.45">
      <c r="A22" s="3">
        <v>1021</v>
      </c>
      <c r="B22" s="3" t="s">
        <v>53</v>
      </c>
      <c r="C22" s="3" t="s">
        <v>19</v>
      </c>
      <c r="D22" s="3">
        <v>2</v>
      </c>
      <c r="E22" s="3">
        <v>4000</v>
      </c>
      <c r="F22" s="3">
        <v>8000</v>
      </c>
      <c r="G22" s="3" t="s">
        <v>22</v>
      </c>
      <c r="H22" s="3" t="s">
        <v>54</v>
      </c>
      <c r="I22" s="5">
        <f t="shared" si="0"/>
        <v>3200</v>
      </c>
      <c r="J22" s="5" t="str">
        <f t="shared" si="1"/>
        <v>West</v>
      </c>
      <c r="K22" s="5" t="str">
        <f t="shared" si="2"/>
        <v>WEST</v>
      </c>
    </row>
    <row r="23" spans="1:11" ht="14.45">
      <c r="A23" s="6">
        <v>1022</v>
      </c>
      <c r="B23" s="6" t="s">
        <v>55</v>
      </c>
      <c r="C23" s="6" t="s">
        <v>12</v>
      </c>
      <c r="D23" s="6">
        <v>2</v>
      </c>
      <c r="E23" s="6">
        <v>15000</v>
      </c>
      <c r="F23" s="6">
        <v>16400</v>
      </c>
      <c r="G23" s="6" t="s">
        <v>13</v>
      </c>
      <c r="H23" s="6" t="s">
        <v>56</v>
      </c>
      <c r="I23" s="5">
        <f t="shared" si="0"/>
        <v>-1600</v>
      </c>
      <c r="J23" s="5" t="str">
        <f t="shared" si="1"/>
        <v>North</v>
      </c>
      <c r="K23" s="5" t="str">
        <f t="shared" si="2"/>
        <v>NORTH</v>
      </c>
    </row>
    <row r="24" spans="1:11" ht="14.45">
      <c r="A24" s="3">
        <v>1023</v>
      </c>
      <c r="B24" s="3" t="s">
        <v>57</v>
      </c>
      <c r="C24" s="3" t="s">
        <v>32</v>
      </c>
      <c r="D24" s="3">
        <v>1</v>
      </c>
      <c r="E24" s="3">
        <v>2500</v>
      </c>
      <c r="F24" s="3">
        <v>2500</v>
      </c>
      <c r="G24" s="3" t="s">
        <v>20</v>
      </c>
      <c r="H24" s="3" t="s">
        <v>58</v>
      </c>
      <c r="I24" s="5">
        <f t="shared" si="0"/>
        <v>1000</v>
      </c>
      <c r="J24" s="5" t="str">
        <f t="shared" si="1"/>
        <v>East</v>
      </c>
      <c r="K24" s="5" t="str">
        <f t="shared" si="2"/>
        <v>EAST</v>
      </c>
    </row>
    <row r="25" spans="1:11" ht="14.45">
      <c r="A25" s="6">
        <v>1024</v>
      </c>
      <c r="B25" s="6" t="s">
        <v>38</v>
      </c>
      <c r="C25" s="6" t="s">
        <v>16</v>
      </c>
      <c r="D25" s="6">
        <v>3</v>
      </c>
      <c r="E25" s="6">
        <v>12619</v>
      </c>
      <c r="F25" s="6">
        <v>16400</v>
      </c>
      <c r="G25" s="6" t="s">
        <v>17</v>
      </c>
      <c r="H25" s="6" t="s">
        <v>59</v>
      </c>
      <c r="I25" s="5">
        <f t="shared" si="0"/>
        <v>-6314.2000000000007</v>
      </c>
      <c r="J25" s="5" t="str">
        <f t="shared" si="1"/>
        <v>South</v>
      </c>
      <c r="K25" s="5" t="str">
        <f t="shared" si="2"/>
        <v>SOUTH</v>
      </c>
    </row>
    <row r="26" spans="1:11" ht="14.45">
      <c r="A26" s="3">
        <v>1025</v>
      </c>
      <c r="B26" s="3" t="s">
        <v>60</v>
      </c>
      <c r="C26" s="3" t="s">
        <v>12</v>
      </c>
      <c r="D26" s="3">
        <v>1</v>
      </c>
      <c r="E26" s="3">
        <v>40000</v>
      </c>
      <c r="F26" s="3">
        <v>40000</v>
      </c>
      <c r="G26" s="3" t="s">
        <v>22</v>
      </c>
      <c r="H26" s="3" t="s">
        <v>61</v>
      </c>
      <c r="I26" s="5">
        <f t="shared" si="0"/>
        <v>16000</v>
      </c>
      <c r="J26" s="5" t="str">
        <f t="shared" si="1"/>
        <v>West</v>
      </c>
      <c r="K26" s="5" t="str">
        <f t="shared" si="2"/>
        <v>WEST</v>
      </c>
    </row>
    <row r="27" spans="1:11" ht="14.45">
      <c r="A27" s="6">
        <v>1026</v>
      </c>
      <c r="B27" s="6" t="s">
        <v>62</v>
      </c>
      <c r="C27" s="6" t="s">
        <v>19</v>
      </c>
      <c r="D27" s="6">
        <v>5</v>
      </c>
      <c r="E27" s="6">
        <v>200</v>
      </c>
      <c r="F27" s="6">
        <v>1000</v>
      </c>
      <c r="G27" s="6" t="s">
        <v>13</v>
      </c>
      <c r="H27" s="6" t="s">
        <v>63</v>
      </c>
      <c r="I27" s="5">
        <f t="shared" si="0"/>
        <v>400</v>
      </c>
      <c r="J27" s="5" t="str">
        <f t="shared" si="1"/>
        <v>North</v>
      </c>
      <c r="K27" s="5" t="str">
        <f t="shared" si="2"/>
        <v>NORTH</v>
      </c>
    </row>
    <row r="28" spans="1:11" ht="14.45">
      <c r="A28" s="3">
        <v>1027</v>
      </c>
      <c r="B28" s="3" t="s">
        <v>64</v>
      </c>
      <c r="C28" s="3" t="s">
        <v>45</v>
      </c>
      <c r="D28" s="3">
        <v>1</v>
      </c>
      <c r="E28" s="3">
        <v>55000</v>
      </c>
      <c r="F28" s="3">
        <v>55000</v>
      </c>
      <c r="G28" s="3" t="s">
        <v>20</v>
      </c>
      <c r="H28" s="3" t="s">
        <v>65</v>
      </c>
      <c r="I28" s="5">
        <f t="shared" si="0"/>
        <v>22000</v>
      </c>
      <c r="J28" s="5" t="str">
        <f t="shared" si="1"/>
        <v>East</v>
      </c>
      <c r="K28" s="5" t="str">
        <f t="shared" si="2"/>
        <v>EAST</v>
      </c>
    </row>
    <row r="29" spans="1:11" ht="14.45">
      <c r="A29" s="6">
        <v>1028</v>
      </c>
      <c r="B29" s="6" t="s">
        <v>28</v>
      </c>
      <c r="C29" s="6" t="s">
        <v>16</v>
      </c>
      <c r="D29" s="6">
        <v>2</v>
      </c>
      <c r="E29" s="6">
        <v>50000</v>
      </c>
      <c r="F29" s="6">
        <v>16400</v>
      </c>
      <c r="G29" s="6" t="s">
        <v>17</v>
      </c>
      <c r="H29" s="6" t="s">
        <v>66</v>
      </c>
      <c r="I29" s="5">
        <f t="shared" si="0"/>
        <v>-43600</v>
      </c>
      <c r="J29" s="5" t="str">
        <f t="shared" si="1"/>
        <v>South</v>
      </c>
      <c r="K29" s="5" t="str">
        <f t="shared" si="2"/>
        <v>SOUTH</v>
      </c>
    </row>
    <row r="30" spans="1:11" ht="14.45">
      <c r="A30" s="3">
        <v>1029</v>
      </c>
      <c r="B30" s="3" t="s">
        <v>67</v>
      </c>
      <c r="C30" s="3" t="s">
        <v>32</v>
      </c>
      <c r="D30" s="3">
        <v>2</v>
      </c>
      <c r="E30" s="3">
        <v>12000</v>
      </c>
      <c r="F30" s="3">
        <v>24000</v>
      </c>
      <c r="G30" s="3" t="s">
        <v>22</v>
      </c>
      <c r="H30" s="3" t="s">
        <v>68</v>
      </c>
      <c r="I30" s="5">
        <f t="shared" si="0"/>
        <v>9600</v>
      </c>
      <c r="J30" s="5" t="str">
        <f t="shared" si="1"/>
        <v>West</v>
      </c>
      <c r="K30" s="5" t="str">
        <f t="shared" si="2"/>
        <v>WEST</v>
      </c>
    </row>
    <row r="31" spans="1:11" ht="14.45">
      <c r="A31" s="6">
        <v>1030</v>
      </c>
      <c r="B31" s="6" t="s">
        <v>69</v>
      </c>
      <c r="C31" s="6" t="s">
        <v>12</v>
      </c>
      <c r="D31" s="6">
        <v>1</v>
      </c>
      <c r="E31" s="6">
        <v>70000</v>
      </c>
      <c r="F31" s="6">
        <v>70000</v>
      </c>
      <c r="G31" s="6" t="s">
        <v>13</v>
      </c>
      <c r="H31" s="6" t="s">
        <v>70</v>
      </c>
      <c r="I31" s="5">
        <f t="shared" si="0"/>
        <v>28000</v>
      </c>
      <c r="J31" s="5" t="str">
        <f t="shared" si="1"/>
        <v>North</v>
      </c>
      <c r="K31" s="5" t="str">
        <f t="shared" si="2"/>
        <v>NORTH</v>
      </c>
    </row>
  </sheetData>
  <mergeCells count="2">
    <mergeCell ref="L2:M2"/>
    <mergeCell ref="L7:M7"/>
  </mergeCells>
  <conditionalFormatting sqref="D1:D31">
    <cfRule type="expression" dxfId="10" priority="1">
      <formula>NOT(ISERROR(SEARCH(("NULL"),(D1))))</formula>
    </cfRule>
  </conditionalFormatting>
  <conditionalFormatting sqref="E2:F31">
    <cfRule type="expression" dxfId="9" priority="2">
      <formula>NOT(ISERROR(SEARCH(("NULL"),(E2))))</formula>
    </cfRule>
  </conditionalFormatting>
  <conditionalFormatting sqref="I1:I31">
    <cfRule type="cellIs" dxfId="8" priority="3" operator="greaterThan">
      <formula>5000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8E04D-3B82-4BB1-96A5-DD71E1D0C5EA}">
  <dimension ref="A1:O39"/>
  <sheetViews>
    <sheetView tabSelected="1" topLeftCell="A21" workbookViewId="0">
      <selection activeCell="H46" sqref="H46"/>
    </sheetView>
  </sheetViews>
  <sheetFormatPr defaultRowHeight="13.15"/>
  <cols>
    <col min="1" max="1" width="8.5703125" bestFit="1" customWidth="1"/>
    <col min="2" max="2" width="18.5703125" bestFit="1" customWidth="1"/>
    <col min="3" max="3" width="8.28515625" bestFit="1" customWidth="1"/>
    <col min="4" max="4" width="9.85546875" bestFit="1" customWidth="1"/>
    <col min="5" max="5" width="8.28515625" bestFit="1" customWidth="1"/>
    <col min="6" max="6" width="13.5703125" bestFit="1" customWidth="1"/>
    <col min="7" max="7" width="13.28515625" bestFit="1" customWidth="1"/>
    <col min="8" max="8" width="16" bestFit="1" customWidth="1"/>
    <col min="9" max="9" width="10.7109375" bestFit="1" customWidth="1"/>
    <col min="10" max="10" width="12.7109375" bestFit="1" customWidth="1"/>
    <col min="11" max="11" width="25.7109375" bestFit="1" customWidth="1"/>
    <col min="12" max="12" width="27" bestFit="1" customWidth="1"/>
    <col min="13" max="13" width="8.28515625" bestFit="1" customWidth="1"/>
    <col min="14" max="14" width="14.28515625" customWidth="1"/>
    <col min="15" max="15" width="12.85546875" bestFit="1" customWidth="1"/>
  </cols>
  <sheetData>
    <row r="1" spans="1:14" ht="14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31"/>
      <c r="M1" s="31"/>
      <c r="N1" s="31" t="s">
        <v>125</v>
      </c>
    </row>
    <row r="2" spans="1:14" ht="14.45">
      <c r="A2" s="6">
        <v>1030</v>
      </c>
      <c r="B2" s="6" t="s">
        <v>69</v>
      </c>
      <c r="C2" s="6" t="s">
        <v>12</v>
      </c>
      <c r="D2" s="6">
        <v>1</v>
      </c>
      <c r="E2" s="6">
        <v>70000</v>
      </c>
      <c r="F2" s="6">
        <v>70000</v>
      </c>
      <c r="G2" s="6" t="s">
        <v>13</v>
      </c>
      <c r="H2" s="6" t="s">
        <v>70</v>
      </c>
      <c r="I2" s="5">
        <f>F2-(D2*E2*0.6)</f>
        <v>28000</v>
      </c>
      <c r="J2" s="5" t="str">
        <f>TRIM(G2)</f>
        <v>North</v>
      </c>
      <c r="K2" s="5" t="str">
        <f>UPPER(G2)</f>
        <v>NORTH</v>
      </c>
      <c r="L2" s="32"/>
      <c r="M2" s="36"/>
      <c r="N2" s="31">
        <f>F2-(D2*E2*0.6)</f>
        <v>28000</v>
      </c>
    </row>
    <row r="3" spans="1:14" ht="14.45">
      <c r="A3" s="3">
        <v>1027</v>
      </c>
      <c r="B3" s="3" t="s">
        <v>64</v>
      </c>
      <c r="C3" s="3" t="s">
        <v>45</v>
      </c>
      <c r="D3" s="3">
        <v>1</v>
      </c>
      <c r="E3" s="3">
        <v>55000</v>
      </c>
      <c r="F3" s="3">
        <v>55000</v>
      </c>
      <c r="G3" s="3" t="s">
        <v>20</v>
      </c>
      <c r="H3" s="3" t="s">
        <v>65</v>
      </c>
      <c r="I3" s="5">
        <f>F3-(D3*E3*0.6)</f>
        <v>22000</v>
      </c>
      <c r="J3" s="5" t="str">
        <f>TRIM(G3)</f>
        <v>East</v>
      </c>
      <c r="K3" s="5" t="str">
        <f>UPPER(G3)</f>
        <v>EAST</v>
      </c>
      <c r="L3" s="34"/>
      <c r="M3" s="34"/>
      <c r="N3" s="31">
        <f>F3-(D3*E3*0.6)</f>
        <v>22000</v>
      </c>
    </row>
    <row r="4" spans="1:14" ht="14.45">
      <c r="A4" s="3">
        <v>1025</v>
      </c>
      <c r="B4" s="3" t="s">
        <v>60</v>
      </c>
      <c r="C4" s="3" t="s">
        <v>12</v>
      </c>
      <c r="D4" s="3">
        <v>1</v>
      </c>
      <c r="E4" s="3">
        <v>40000</v>
      </c>
      <c r="F4" s="3">
        <v>40000</v>
      </c>
      <c r="G4" s="3" t="s">
        <v>22</v>
      </c>
      <c r="H4" s="3" t="s">
        <v>61</v>
      </c>
      <c r="I4" s="5">
        <f>F4-(D4*E4*0.6)</f>
        <v>16000</v>
      </c>
      <c r="J4" s="5" t="str">
        <f>TRIM(G4)</f>
        <v>West</v>
      </c>
      <c r="K4" s="5" t="str">
        <f>UPPER(G4)</f>
        <v>WEST</v>
      </c>
      <c r="L4" s="34"/>
      <c r="M4" s="34"/>
      <c r="N4" s="31">
        <f>F4-(D4*E4*0.6)</f>
        <v>16000</v>
      </c>
    </row>
    <row r="5" spans="1:14" ht="14.45">
      <c r="A5" s="6">
        <v>1002</v>
      </c>
      <c r="B5" s="6" t="s">
        <v>15</v>
      </c>
      <c r="C5" s="6" t="s">
        <v>16</v>
      </c>
      <c r="D5" s="6">
        <v>2</v>
      </c>
      <c r="E5" s="6">
        <v>800</v>
      </c>
      <c r="F5" s="6">
        <v>16400</v>
      </c>
      <c r="G5" s="6" t="s">
        <v>17</v>
      </c>
      <c r="H5" s="7">
        <v>45691</v>
      </c>
      <c r="I5" s="5">
        <f>F5-(D5*E5*0.6)</f>
        <v>15440</v>
      </c>
      <c r="J5" s="5" t="str">
        <f>TRIM(G5)</f>
        <v>South</v>
      </c>
      <c r="K5" s="5" t="str">
        <f>UPPER(G5)</f>
        <v>SOUTH</v>
      </c>
      <c r="L5" s="33" t="s">
        <v>0</v>
      </c>
      <c r="M5" s="33">
        <v>1015</v>
      </c>
      <c r="N5" s="31">
        <f>F5-(D5*E5*0.6)</f>
        <v>15440</v>
      </c>
    </row>
    <row r="6" spans="1:14" ht="14.45">
      <c r="A6" s="6">
        <v>1014</v>
      </c>
      <c r="B6" s="6" t="s">
        <v>38</v>
      </c>
      <c r="C6" s="6" t="s">
        <v>16</v>
      </c>
      <c r="D6" s="6">
        <v>2</v>
      </c>
      <c r="E6" s="6">
        <v>900</v>
      </c>
      <c r="F6" s="6">
        <v>16400</v>
      </c>
      <c r="G6" s="6" t="s">
        <v>13</v>
      </c>
      <c r="H6" s="6" t="s">
        <v>39</v>
      </c>
      <c r="I6" s="5">
        <f>F6-(D6*E6*0.6)</f>
        <v>15320</v>
      </c>
      <c r="J6" s="5" t="str">
        <f>TRIM(G6)</f>
        <v>North</v>
      </c>
      <c r="K6" s="5" t="str">
        <f>UPPER(G6)</f>
        <v>NORTH</v>
      </c>
      <c r="L6" s="31"/>
      <c r="M6" s="31"/>
      <c r="N6" s="31">
        <f>F6-(D6*E6*0.6)</f>
        <v>15320</v>
      </c>
    </row>
    <row r="7" spans="1:14" ht="14.45">
      <c r="A7" s="6">
        <v>1020</v>
      </c>
      <c r="B7" s="6" t="s">
        <v>51</v>
      </c>
      <c r="C7" s="6" t="s">
        <v>16</v>
      </c>
      <c r="D7" s="6">
        <v>2</v>
      </c>
      <c r="E7" s="6">
        <v>1200</v>
      </c>
      <c r="F7" s="6">
        <v>16400</v>
      </c>
      <c r="G7" s="6" t="s">
        <v>17</v>
      </c>
      <c r="H7" s="6" t="s">
        <v>52</v>
      </c>
      <c r="I7" s="5">
        <f>F7-(D7*E7*0.6)</f>
        <v>14960</v>
      </c>
      <c r="J7" s="5" t="str">
        <f>TRIM(G7)</f>
        <v>South</v>
      </c>
      <c r="K7" s="5" t="str">
        <f>UPPER(G7)</f>
        <v>SOUTH</v>
      </c>
      <c r="L7" s="32"/>
      <c r="M7" s="36"/>
      <c r="N7" s="31">
        <f>F7-(D7*E7*0.6)</f>
        <v>14960</v>
      </c>
    </row>
    <row r="8" spans="1:14" ht="14.45">
      <c r="A8" s="6">
        <v>1016</v>
      </c>
      <c r="B8" s="6" t="s">
        <v>42</v>
      </c>
      <c r="C8" s="6" t="s">
        <v>19</v>
      </c>
      <c r="D8" s="6">
        <v>2</v>
      </c>
      <c r="E8" s="6">
        <v>1500</v>
      </c>
      <c r="F8" s="6">
        <v>16400</v>
      </c>
      <c r="G8" s="6" t="s">
        <v>17</v>
      </c>
      <c r="H8" s="6" t="s">
        <v>43</v>
      </c>
      <c r="I8" s="5">
        <f>F8-(D8*E8*0.6)</f>
        <v>14600</v>
      </c>
      <c r="J8" s="5" t="str">
        <f>TRIM(G8)</f>
        <v>South</v>
      </c>
      <c r="K8" s="5" t="str">
        <f>UPPER(G8)</f>
        <v>SOUTH</v>
      </c>
      <c r="L8" s="34"/>
      <c r="M8" s="34"/>
      <c r="N8" s="31">
        <f>F8-(D8*E8*0.6)</f>
        <v>14600</v>
      </c>
    </row>
    <row r="9" spans="1:14" ht="14.45">
      <c r="A9" s="3">
        <v>1013</v>
      </c>
      <c r="B9" s="3" t="s">
        <v>36</v>
      </c>
      <c r="C9" s="3" t="s">
        <v>32</v>
      </c>
      <c r="D9" s="3">
        <v>2</v>
      </c>
      <c r="E9" s="3">
        <v>12000</v>
      </c>
      <c r="F9" s="3">
        <v>24000</v>
      </c>
      <c r="G9" s="3" t="s">
        <v>22</v>
      </c>
      <c r="H9" s="3" t="s">
        <v>37</v>
      </c>
      <c r="I9" s="5">
        <f>F9-(D9*E9*0.6)</f>
        <v>9600</v>
      </c>
      <c r="J9" s="5" t="str">
        <f>TRIM(G9)</f>
        <v>West</v>
      </c>
      <c r="K9" s="5" t="str">
        <f>UPPER(G9)</f>
        <v>WEST</v>
      </c>
      <c r="L9" s="34"/>
      <c r="M9" s="34"/>
      <c r="N9" s="31">
        <f>F9-(D9*E9*0.6)</f>
        <v>9600</v>
      </c>
    </row>
    <row r="10" spans="1:14" ht="14.45">
      <c r="A10" s="3">
        <v>1029</v>
      </c>
      <c r="B10" s="3" t="s">
        <v>67</v>
      </c>
      <c r="C10" s="3" t="s">
        <v>32</v>
      </c>
      <c r="D10" s="3">
        <v>2</v>
      </c>
      <c r="E10" s="3">
        <v>12000</v>
      </c>
      <c r="F10" s="3">
        <v>24000</v>
      </c>
      <c r="G10" s="3" t="s">
        <v>22</v>
      </c>
      <c r="H10" s="3" t="s">
        <v>68</v>
      </c>
      <c r="I10" s="5">
        <f>F10-(D10*E10*0.6)</f>
        <v>9600</v>
      </c>
      <c r="J10" s="5" t="str">
        <f>TRIM(G10)</f>
        <v>West</v>
      </c>
      <c r="K10" s="5" t="str">
        <f>UPPER(G10)</f>
        <v>WEST</v>
      </c>
      <c r="L10" s="31"/>
      <c r="M10" s="31"/>
      <c r="N10" s="31">
        <f>F10-(D10*E10*0.6)</f>
        <v>9600</v>
      </c>
    </row>
    <row r="11" spans="1:14" ht="14.45">
      <c r="A11" s="3">
        <v>1009</v>
      </c>
      <c r="B11" s="3" t="s">
        <v>31</v>
      </c>
      <c r="C11" s="3" t="s">
        <v>32</v>
      </c>
      <c r="D11" s="3">
        <v>2</v>
      </c>
      <c r="E11" s="3">
        <v>6000</v>
      </c>
      <c r="F11" s="3">
        <v>16400</v>
      </c>
      <c r="G11" s="3" t="s">
        <v>13</v>
      </c>
      <c r="H11" s="4">
        <v>45903</v>
      </c>
      <c r="I11" s="5">
        <f>F11-(D11*E11*0.6)</f>
        <v>9200</v>
      </c>
      <c r="J11" s="5" t="str">
        <f>TRIM(G11)</f>
        <v>North</v>
      </c>
      <c r="K11" s="5" t="str">
        <f>UPPER(G11)</f>
        <v>NORTH</v>
      </c>
      <c r="L11" s="31"/>
      <c r="M11" s="31"/>
      <c r="N11" s="31">
        <f>F11-(D11*E11*0.6)</f>
        <v>9200</v>
      </c>
    </row>
    <row r="12" spans="1:14" ht="14.45">
      <c r="A12" s="3">
        <v>1007</v>
      </c>
      <c r="B12" s="3" t="s">
        <v>28</v>
      </c>
      <c r="C12" s="3" t="s">
        <v>16</v>
      </c>
      <c r="D12" s="3">
        <v>1</v>
      </c>
      <c r="E12" s="3">
        <v>12619</v>
      </c>
      <c r="F12" s="3">
        <v>16400</v>
      </c>
      <c r="G12" s="3" t="s">
        <v>17</v>
      </c>
      <c r="H12" s="4">
        <v>45841</v>
      </c>
      <c r="I12" s="5">
        <f>F12-(D12*E12*0.6)</f>
        <v>8828.6</v>
      </c>
      <c r="J12" s="5" t="str">
        <f>TRIM(G12)</f>
        <v>South</v>
      </c>
      <c r="K12" s="5" t="str">
        <f>UPPER(G12)</f>
        <v>SOUTH</v>
      </c>
      <c r="L12" s="33" t="s">
        <v>0</v>
      </c>
      <c r="M12" s="33">
        <v>1027</v>
      </c>
      <c r="N12" s="31">
        <f>F12-(D12*E12*0.6)</f>
        <v>8828.6</v>
      </c>
    </row>
    <row r="13" spans="1:14" ht="14.45">
      <c r="A13" s="3">
        <v>1019</v>
      </c>
      <c r="B13" s="3" t="s">
        <v>49</v>
      </c>
      <c r="C13" s="3" t="s">
        <v>12</v>
      </c>
      <c r="D13" s="3">
        <v>1</v>
      </c>
      <c r="E13" s="3">
        <v>20000</v>
      </c>
      <c r="F13" s="3">
        <v>20000</v>
      </c>
      <c r="G13" s="3" t="s">
        <v>20</v>
      </c>
      <c r="H13" s="3" t="s">
        <v>50</v>
      </c>
      <c r="I13" s="5">
        <f>F13-(D13*E13*0.6)</f>
        <v>8000</v>
      </c>
      <c r="J13" s="5" t="str">
        <f>TRIM(G13)</f>
        <v>East</v>
      </c>
      <c r="K13" s="5" t="str">
        <f>UPPER(G13)</f>
        <v>EAST</v>
      </c>
      <c r="L13" s="31"/>
      <c r="M13" s="31"/>
      <c r="N13" s="31">
        <f>F13-(D13*E13*0.6)</f>
        <v>8000</v>
      </c>
    </row>
    <row r="14" spans="1:14" ht="14.45">
      <c r="A14" s="6">
        <v>1006</v>
      </c>
      <c r="B14" s="6" t="s">
        <v>25</v>
      </c>
      <c r="C14" s="6" t="s">
        <v>12</v>
      </c>
      <c r="D14" s="6">
        <v>2</v>
      </c>
      <c r="E14" s="6">
        <v>7000</v>
      </c>
      <c r="F14" s="6">
        <v>14000</v>
      </c>
      <c r="G14" s="6" t="s">
        <v>26</v>
      </c>
      <c r="H14" s="7">
        <v>45811</v>
      </c>
      <c r="I14" s="5">
        <f>F14-(D14*E14*0.6)</f>
        <v>5600</v>
      </c>
      <c r="J14" s="5" t="str">
        <f>TRIM(G14)</f>
        <v>NULL</v>
      </c>
      <c r="K14" s="5" t="str">
        <f>UPPER(G14)</f>
        <v>NULL</v>
      </c>
      <c r="L14" s="35" t="s">
        <v>27</v>
      </c>
      <c r="M14" s="37"/>
      <c r="N14" s="31">
        <f>F14-(D14*E14*0.6)</f>
        <v>5600</v>
      </c>
    </row>
    <row r="15" spans="1:14" ht="14.45">
      <c r="A15" s="6">
        <v>1008</v>
      </c>
      <c r="B15" s="6" t="s">
        <v>29</v>
      </c>
      <c r="C15" s="6" t="s">
        <v>19</v>
      </c>
      <c r="D15" s="6">
        <v>3</v>
      </c>
      <c r="E15" s="6">
        <v>4500</v>
      </c>
      <c r="F15" s="6">
        <v>13500</v>
      </c>
      <c r="G15" s="6" t="s">
        <v>20</v>
      </c>
      <c r="H15" s="7">
        <v>45872</v>
      </c>
      <c r="I15" s="5">
        <f>F15-(D15*E15*0.6)</f>
        <v>5400</v>
      </c>
      <c r="J15" s="5" t="str">
        <f>TRIM(G15)</f>
        <v>East</v>
      </c>
      <c r="K15" s="5" t="str">
        <f>UPPER(G15)</f>
        <v>EAST</v>
      </c>
      <c r="L15" s="33" t="s">
        <v>30</v>
      </c>
      <c r="M15" s="38" t="e">
        <f t="array" ref="M15">INDEX(C7:C37, MATCH(M14, A7:A37,0))</f>
        <v>#N/A</v>
      </c>
      <c r="N15" s="31">
        <f>F15-(D15*E15*0.6)</f>
        <v>5400</v>
      </c>
    </row>
    <row r="16" spans="1:14" ht="14.45">
      <c r="A16" s="6">
        <v>1018</v>
      </c>
      <c r="B16" s="6" t="s">
        <v>47</v>
      </c>
      <c r="C16" s="6" t="s">
        <v>16</v>
      </c>
      <c r="D16" s="6">
        <v>2</v>
      </c>
      <c r="E16" s="6">
        <v>5500</v>
      </c>
      <c r="F16" s="6">
        <v>11000</v>
      </c>
      <c r="G16" s="6" t="s">
        <v>13</v>
      </c>
      <c r="H16" s="6" t="s">
        <v>48</v>
      </c>
      <c r="I16" s="5">
        <f>F16-(D16*E16*0.6)</f>
        <v>4400</v>
      </c>
      <c r="J16" s="5" t="str">
        <f>TRIM(G16)</f>
        <v>North</v>
      </c>
      <c r="K16" s="5" t="str">
        <f>UPPER(G16)</f>
        <v>NORTH</v>
      </c>
      <c r="L16" s="31"/>
      <c r="M16" s="31"/>
      <c r="N16" s="31">
        <f>F16-(D16*E16*0.6)</f>
        <v>4400</v>
      </c>
    </row>
    <row r="17" spans="1:14" ht="14.45">
      <c r="A17" s="3">
        <v>1017</v>
      </c>
      <c r="B17" s="3" t="s">
        <v>44</v>
      </c>
      <c r="C17" s="3" t="s">
        <v>45</v>
      </c>
      <c r="D17" s="3">
        <v>1</v>
      </c>
      <c r="E17" s="3">
        <v>8000</v>
      </c>
      <c r="F17" s="3">
        <v>8000</v>
      </c>
      <c r="G17" s="3" t="s">
        <v>22</v>
      </c>
      <c r="H17" s="3" t="s">
        <v>46</v>
      </c>
      <c r="I17" s="5">
        <f>F17-(D17*E17*0.6)</f>
        <v>3200</v>
      </c>
      <c r="J17" s="5" t="str">
        <f>TRIM(G17)</f>
        <v>West</v>
      </c>
      <c r="K17" s="5" t="str">
        <f>UPPER(G17)</f>
        <v>WEST</v>
      </c>
      <c r="L17" s="31"/>
      <c r="M17" s="31"/>
      <c r="N17" s="31">
        <f>F17-(D17*E17*0.6)</f>
        <v>3200</v>
      </c>
    </row>
    <row r="18" spans="1:14" ht="14.45">
      <c r="A18" s="3">
        <v>1021</v>
      </c>
      <c r="B18" s="3" t="s">
        <v>53</v>
      </c>
      <c r="C18" s="3" t="s">
        <v>19</v>
      </c>
      <c r="D18" s="3">
        <v>2</v>
      </c>
      <c r="E18" s="3">
        <v>4000</v>
      </c>
      <c r="F18" s="3">
        <v>8000</v>
      </c>
      <c r="G18" s="3" t="s">
        <v>22</v>
      </c>
      <c r="H18" s="3" t="s">
        <v>54</v>
      </c>
      <c r="I18" s="5">
        <f>F18-(D18*E18*0.6)</f>
        <v>3200</v>
      </c>
      <c r="J18" s="5" t="str">
        <f>TRIM(G18)</f>
        <v>West</v>
      </c>
      <c r="K18" s="5" t="str">
        <f>UPPER(G18)</f>
        <v>WEST</v>
      </c>
      <c r="L18" s="31"/>
      <c r="M18" s="31"/>
      <c r="N18" s="31">
        <f>F18-(D18*E18*0.6)</f>
        <v>3200</v>
      </c>
    </row>
    <row r="19" spans="1:14" ht="14.45">
      <c r="A19" s="3">
        <v>1015</v>
      </c>
      <c r="B19" s="3" t="s">
        <v>40</v>
      </c>
      <c r="C19" s="3" t="s">
        <v>32</v>
      </c>
      <c r="D19" s="3">
        <v>3</v>
      </c>
      <c r="E19" s="3">
        <v>1800</v>
      </c>
      <c r="F19" s="3">
        <v>5400</v>
      </c>
      <c r="G19" s="3" t="s">
        <v>20</v>
      </c>
      <c r="H19" s="3" t="s">
        <v>41</v>
      </c>
      <c r="I19" s="5">
        <f>F19-(D19*E19*0.6)</f>
        <v>2160</v>
      </c>
      <c r="J19" s="5" t="str">
        <f>TRIM(G19)</f>
        <v>East</v>
      </c>
      <c r="K19" s="5" t="str">
        <f>UPPER(G19)</f>
        <v>EAST</v>
      </c>
      <c r="L19" s="31"/>
      <c r="M19" s="31"/>
      <c r="N19" s="31">
        <f>F19-(D19*E19*0.6)</f>
        <v>2160</v>
      </c>
    </row>
    <row r="20" spans="1:14" ht="14.45">
      <c r="A20" s="3">
        <v>1005</v>
      </c>
      <c r="B20" s="3" t="s">
        <v>23</v>
      </c>
      <c r="C20" s="3" t="s">
        <v>24</v>
      </c>
      <c r="D20" s="3">
        <v>2</v>
      </c>
      <c r="E20" s="3">
        <v>2500</v>
      </c>
      <c r="F20" s="3">
        <v>5000</v>
      </c>
      <c r="G20" s="3" t="s">
        <v>13</v>
      </c>
      <c r="H20" s="4">
        <v>45780</v>
      </c>
      <c r="I20" s="5">
        <f>F20-(D20*E20*0.6)</f>
        <v>2000</v>
      </c>
      <c r="J20" s="5" t="str">
        <f>TRIM(G20)</f>
        <v>North</v>
      </c>
      <c r="K20" s="5" t="str">
        <f>UPPER(G20)</f>
        <v>NORTH</v>
      </c>
      <c r="L20" s="31"/>
      <c r="M20" s="31"/>
      <c r="N20" s="31">
        <f>F20-(D20*E20*0.6)</f>
        <v>2000</v>
      </c>
    </row>
    <row r="21" spans="1:14" ht="14.45">
      <c r="A21" s="3">
        <v>1003</v>
      </c>
      <c r="B21" s="3" t="s">
        <v>18</v>
      </c>
      <c r="C21" s="3" t="s">
        <v>19</v>
      </c>
      <c r="D21" s="3">
        <v>1</v>
      </c>
      <c r="E21" s="3">
        <v>3500</v>
      </c>
      <c r="F21" s="3">
        <v>3500</v>
      </c>
      <c r="G21" s="3" t="s">
        <v>20</v>
      </c>
      <c r="H21" s="4">
        <v>45719</v>
      </c>
      <c r="I21" s="5">
        <f>F21-(D21*E21*0.6)</f>
        <v>1400</v>
      </c>
      <c r="J21" s="5" t="str">
        <f>TRIM(G21)</f>
        <v>East</v>
      </c>
      <c r="K21" s="5" t="str">
        <f>UPPER(G21)</f>
        <v>EAST</v>
      </c>
      <c r="L21" s="33" t="s">
        <v>5</v>
      </c>
      <c r="M21" s="39" t="e">
        <f>VLOOKUP(M20, A18:F48, 6, FALSE)</f>
        <v>#N/A</v>
      </c>
      <c r="N21" s="31">
        <f>F21-(D21*E21*0.6)</f>
        <v>1400</v>
      </c>
    </row>
    <row r="22" spans="1:14" ht="14.45">
      <c r="A22" s="6">
        <v>1010</v>
      </c>
      <c r="B22" s="6" t="s">
        <v>33</v>
      </c>
      <c r="C22" s="6" t="s">
        <v>16</v>
      </c>
      <c r="D22" s="6">
        <v>2</v>
      </c>
      <c r="E22" s="6">
        <v>1500</v>
      </c>
      <c r="F22" s="6">
        <v>3000</v>
      </c>
      <c r="G22" s="6" t="s">
        <v>22</v>
      </c>
      <c r="H22" s="7">
        <v>45933</v>
      </c>
      <c r="I22" s="5">
        <f>F22-(D22*E22*0.6)</f>
        <v>1200</v>
      </c>
      <c r="J22" s="5" t="str">
        <f>TRIM(G22)</f>
        <v>West</v>
      </c>
      <c r="K22" s="5" t="str">
        <f>UPPER(G22)</f>
        <v>WEST</v>
      </c>
      <c r="L22" s="31"/>
      <c r="M22" s="31"/>
      <c r="N22" s="31">
        <f>F22-(D22*E22*0.6)</f>
        <v>1200</v>
      </c>
    </row>
    <row r="23" spans="1:14" ht="14.45">
      <c r="A23" s="3">
        <v>1023</v>
      </c>
      <c r="B23" s="3" t="s">
        <v>57</v>
      </c>
      <c r="C23" s="3" t="s">
        <v>32</v>
      </c>
      <c r="D23" s="3">
        <v>1</v>
      </c>
      <c r="E23" s="3">
        <v>2500</v>
      </c>
      <c r="F23" s="3">
        <v>2500</v>
      </c>
      <c r="G23" s="3" t="s">
        <v>20</v>
      </c>
      <c r="H23" s="3" t="s">
        <v>58</v>
      </c>
      <c r="I23" s="5">
        <f>F23-(D23*E23*0.6)</f>
        <v>1000</v>
      </c>
      <c r="J23" s="5" t="str">
        <f>TRIM(G23)</f>
        <v>East</v>
      </c>
      <c r="K23" s="5" t="str">
        <f>UPPER(G23)</f>
        <v>EAST</v>
      </c>
      <c r="L23" s="31"/>
      <c r="M23" s="31"/>
      <c r="N23" s="31">
        <f>F23-(D23*E23*0.6)</f>
        <v>1000</v>
      </c>
    </row>
    <row r="24" spans="1:14" ht="14.45">
      <c r="A24" s="6">
        <v>1012</v>
      </c>
      <c r="B24" s="6" t="s">
        <v>35</v>
      </c>
      <c r="C24" s="6" t="s">
        <v>19</v>
      </c>
      <c r="D24" s="6">
        <v>1</v>
      </c>
      <c r="E24" s="6">
        <v>2200</v>
      </c>
      <c r="F24" s="6">
        <v>2200</v>
      </c>
      <c r="G24" s="6" t="s">
        <v>17</v>
      </c>
      <c r="H24" s="7">
        <v>45994</v>
      </c>
      <c r="I24" s="5">
        <f>F24-(D24*E24*0.6)</f>
        <v>880</v>
      </c>
      <c r="J24" s="5" t="str">
        <f>TRIM(G24)</f>
        <v>South</v>
      </c>
      <c r="K24" s="5" t="str">
        <f>UPPER(G24)</f>
        <v>SOUTH</v>
      </c>
      <c r="L24" s="31"/>
      <c r="M24" s="31"/>
      <c r="N24" s="31">
        <f>F24-(D24*E24*0.6)</f>
        <v>880</v>
      </c>
    </row>
    <row r="25" spans="1:14" ht="14.45">
      <c r="A25" s="3">
        <v>1001</v>
      </c>
      <c r="B25" s="3" t="s">
        <v>11</v>
      </c>
      <c r="C25" s="3" t="s">
        <v>12</v>
      </c>
      <c r="D25" s="3">
        <v>3</v>
      </c>
      <c r="E25" s="3">
        <v>500</v>
      </c>
      <c r="F25" s="3">
        <v>1500</v>
      </c>
      <c r="G25" s="3" t="s">
        <v>13</v>
      </c>
      <c r="H25" s="4">
        <v>45660</v>
      </c>
      <c r="I25" s="5">
        <f>F25-(D25*E25*0.6)</f>
        <v>600</v>
      </c>
      <c r="J25" s="5" t="str">
        <f>TRIM(G25)</f>
        <v>North</v>
      </c>
      <c r="K25" s="5" t="str">
        <f>UPPER(G25)</f>
        <v>NORTH</v>
      </c>
      <c r="L25" s="35" t="s">
        <v>14</v>
      </c>
      <c r="M25" s="37"/>
      <c r="N25" s="31">
        <f>F25-(D25*E25*0.6)</f>
        <v>600</v>
      </c>
    </row>
    <row r="26" spans="1:14" ht="14.45">
      <c r="A26" s="6">
        <v>1026</v>
      </c>
      <c r="B26" s="6" t="s">
        <v>62</v>
      </c>
      <c r="C26" s="6" t="s">
        <v>19</v>
      </c>
      <c r="D26" s="6">
        <v>5</v>
      </c>
      <c r="E26" s="6">
        <v>200</v>
      </c>
      <c r="F26" s="6">
        <v>1000</v>
      </c>
      <c r="G26" s="6" t="s">
        <v>13</v>
      </c>
      <c r="H26" s="6" t="s">
        <v>63</v>
      </c>
      <c r="I26" s="5">
        <f>F26-(D26*E26*0.6)</f>
        <v>400</v>
      </c>
      <c r="J26" s="5" t="str">
        <f>TRIM(G26)</f>
        <v>North</v>
      </c>
      <c r="K26" s="5" t="str">
        <f>UPPER(G26)</f>
        <v>NORTH</v>
      </c>
      <c r="L26" s="31"/>
      <c r="M26" s="31"/>
      <c r="N26" s="31">
        <f>F26-(D26*E26*0.6)</f>
        <v>400</v>
      </c>
    </row>
    <row r="27" spans="1:14" ht="14.45">
      <c r="A27" s="6">
        <v>1022</v>
      </c>
      <c r="B27" s="6" t="s">
        <v>55</v>
      </c>
      <c r="C27" s="6" t="s">
        <v>12</v>
      </c>
      <c r="D27" s="6">
        <v>2</v>
      </c>
      <c r="E27" s="6">
        <v>15000</v>
      </c>
      <c r="F27" s="6">
        <v>16400</v>
      </c>
      <c r="G27" s="6" t="s">
        <v>13</v>
      </c>
      <c r="H27" s="6" t="s">
        <v>56</v>
      </c>
      <c r="I27" s="5">
        <f>F27-(D27*E27*0.6)</f>
        <v>-1600</v>
      </c>
      <c r="J27" s="5" t="str">
        <f>TRIM(G27)</f>
        <v>North</v>
      </c>
      <c r="K27" s="5" t="str">
        <f>UPPER(G27)</f>
        <v>NORTH</v>
      </c>
      <c r="L27" s="31"/>
      <c r="M27" s="31"/>
      <c r="N27" s="31">
        <f>F27-(D27*E27*0.6)</f>
        <v>-1600</v>
      </c>
    </row>
    <row r="28" spans="1:14" ht="14.45">
      <c r="A28" s="6">
        <v>1024</v>
      </c>
      <c r="B28" s="6" t="s">
        <v>38</v>
      </c>
      <c r="C28" s="6" t="s">
        <v>16</v>
      </c>
      <c r="D28" s="6">
        <v>3</v>
      </c>
      <c r="E28" s="6">
        <v>12619</v>
      </c>
      <c r="F28" s="6">
        <v>16400</v>
      </c>
      <c r="G28" s="6" t="s">
        <v>17</v>
      </c>
      <c r="H28" s="6" t="s">
        <v>59</v>
      </c>
      <c r="I28" s="5">
        <f>F28-(D28*E28*0.6)</f>
        <v>-6314.2000000000007</v>
      </c>
      <c r="J28" s="5" t="str">
        <f>TRIM(G28)</f>
        <v>South</v>
      </c>
      <c r="K28" s="5" t="str">
        <f>UPPER(G28)</f>
        <v>SOUTH</v>
      </c>
      <c r="L28" s="31"/>
      <c r="M28" s="31"/>
      <c r="N28" s="31">
        <f>F28-(D28*E28*0.6)</f>
        <v>-6314.2000000000007</v>
      </c>
    </row>
    <row r="29" spans="1:14" ht="14.45">
      <c r="A29" s="6">
        <v>1004</v>
      </c>
      <c r="B29" s="6" t="s">
        <v>21</v>
      </c>
      <c r="C29" s="6" t="s">
        <v>12</v>
      </c>
      <c r="D29" s="6">
        <v>4</v>
      </c>
      <c r="E29" s="6">
        <v>12619</v>
      </c>
      <c r="F29" s="6">
        <v>16400</v>
      </c>
      <c r="G29" s="6" t="s">
        <v>22</v>
      </c>
      <c r="H29" s="7">
        <v>45750</v>
      </c>
      <c r="I29" s="5">
        <f>F29-(D29*E29*0.6)</f>
        <v>-13885.599999999999</v>
      </c>
      <c r="J29" s="5" t="str">
        <f>TRIM(G29)</f>
        <v>West</v>
      </c>
      <c r="K29" s="5" t="str">
        <f>UPPER(G29)</f>
        <v>WEST</v>
      </c>
      <c r="L29" s="31"/>
      <c r="M29" s="31"/>
      <c r="N29" s="31">
        <f>F29-(D29*E29*0.6)</f>
        <v>-13885.599999999999</v>
      </c>
    </row>
    <row r="30" spans="1:14" ht="14.45">
      <c r="A30" s="3">
        <v>1011</v>
      </c>
      <c r="B30" s="3" t="s">
        <v>34</v>
      </c>
      <c r="C30" s="3" t="s">
        <v>12</v>
      </c>
      <c r="D30" s="3">
        <v>5</v>
      </c>
      <c r="E30" s="3">
        <v>12619</v>
      </c>
      <c r="F30" s="3">
        <v>16400</v>
      </c>
      <c r="G30" s="3" t="s">
        <v>20</v>
      </c>
      <c r="H30" s="4">
        <v>45964</v>
      </c>
      <c r="I30" s="5">
        <f>F30-(D30*E30*0.6)</f>
        <v>-21457</v>
      </c>
      <c r="J30" s="5" t="str">
        <f>TRIM(G30)</f>
        <v>East</v>
      </c>
      <c r="K30" s="5" t="str">
        <f>UPPER(G30)</f>
        <v>EAST</v>
      </c>
      <c r="L30" s="31"/>
      <c r="M30" s="31"/>
      <c r="N30" s="31">
        <f>F30-(D30*E30*0.6)</f>
        <v>-21457</v>
      </c>
    </row>
    <row r="31" spans="1:14" ht="14.45">
      <c r="A31" s="6">
        <v>1028</v>
      </c>
      <c r="B31" s="6" t="s">
        <v>28</v>
      </c>
      <c r="C31" s="6" t="s">
        <v>16</v>
      </c>
      <c r="D31" s="6">
        <v>2</v>
      </c>
      <c r="E31" s="6">
        <v>50000</v>
      </c>
      <c r="F31" s="6">
        <v>16400</v>
      </c>
      <c r="G31" s="6" t="s">
        <v>17</v>
      </c>
      <c r="H31" s="6" t="s">
        <v>66</v>
      </c>
      <c r="I31" s="5">
        <f>F31-(D31*E31*0.6)</f>
        <v>-43600</v>
      </c>
      <c r="J31" s="5" t="str">
        <f>TRIM(G31)</f>
        <v>South</v>
      </c>
      <c r="K31" s="5" t="str">
        <f>UPPER(G31)</f>
        <v>SOUTH</v>
      </c>
      <c r="L31" s="31"/>
      <c r="M31" s="31"/>
      <c r="N31" s="31">
        <f>F31-(D31*E31*0.6)</f>
        <v>-43600</v>
      </c>
    </row>
    <row r="36" spans="2:15" ht="14.45">
      <c r="B36" s="1" t="s">
        <v>0</v>
      </c>
      <c r="C36" s="1" t="s">
        <v>1</v>
      </c>
      <c r="D36" s="1" t="s">
        <v>2</v>
      </c>
      <c r="E36" s="1" t="s">
        <v>3</v>
      </c>
      <c r="F36" s="1" t="s">
        <v>4</v>
      </c>
      <c r="G36" s="1" t="s">
        <v>5</v>
      </c>
      <c r="H36" s="1" t="s">
        <v>6</v>
      </c>
      <c r="I36" s="1" t="s">
        <v>7</v>
      </c>
      <c r="J36" s="2" t="s">
        <v>8</v>
      </c>
      <c r="K36" s="2" t="s">
        <v>9</v>
      </c>
      <c r="L36" s="2" t="s">
        <v>10</v>
      </c>
      <c r="M36" s="31"/>
      <c r="N36" s="31"/>
      <c r="O36" s="31" t="s">
        <v>125</v>
      </c>
    </row>
    <row r="37" spans="2:15" ht="14.45">
      <c r="B37" s="6">
        <v>1030</v>
      </c>
      <c r="C37" s="6" t="s">
        <v>69</v>
      </c>
      <c r="D37" s="6" t="s">
        <v>12</v>
      </c>
      <c r="E37" s="6">
        <v>1</v>
      </c>
      <c r="F37" s="6">
        <v>70000</v>
      </c>
      <c r="G37" s="6">
        <v>70000</v>
      </c>
      <c r="H37" s="6" t="s">
        <v>13</v>
      </c>
      <c r="I37" s="6" t="s">
        <v>70</v>
      </c>
      <c r="J37" s="5">
        <f>G37-(E37*F37*0.6)</f>
        <v>28000</v>
      </c>
      <c r="K37" s="5" t="str">
        <f>TRIM(H37)</f>
        <v>North</v>
      </c>
      <c r="L37" s="5" t="str">
        <f>UPPER(H37)</f>
        <v>NORTH</v>
      </c>
      <c r="M37" s="32"/>
      <c r="N37" s="36"/>
      <c r="O37" s="31">
        <f>G37-(E37*F37*0.6)</f>
        <v>28000</v>
      </c>
    </row>
    <row r="38" spans="2:15" ht="14.45">
      <c r="B38" s="3">
        <v>1027</v>
      </c>
      <c r="C38" s="3" t="s">
        <v>64</v>
      </c>
      <c r="D38" s="3" t="s">
        <v>45</v>
      </c>
      <c r="E38" s="3">
        <v>1</v>
      </c>
      <c r="F38" s="3">
        <v>55000</v>
      </c>
      <c r="G38" s="3">
        <v>55000</v>
      </c>
      <c r="H38" s="3" t="s">
        <v>20</v>
      </c>
      <c r="I38" s="3" t="s">
        <v>65</v>
      </c>
      <c r="J38" s="5">
        <f>G38-(E38*F38*0.6)</f>
        <v>22000</v>
      </c>
      <c r="K38" s="5" t="str">
        <f>TRIM(H38)</f>
        <v>East</v>
      </c>
      <c r="L38" s="5" t="str">
        <f>UPPER(H38)</f>
        <v>EAST</v>
      </c>
      <c r="M38" s="34"/>
      <c r="N38" s="34"/>
      <c r="O38" s="31">
        <f>G38-(E38*F38*0.6)</f>
        <v>22000</v>
      </c>
    </row>
    <row r="39" spans="2:15" ht="14.45">
      <c r="B39" s="3">
        <v>1025</v>
      </c>
      <c r="C39" s="3" t="s">
        <v>60</v>
      </c>
      <c r="D39" s="3" t="s">
        <v>12</v>
      </c>
      <c r="E39" s="3">
        <v>1</v>
      </c>
      <c r="F39" s="3">
        <v>40000</v>
      </c>
      <c r="G39" s="3">
        <v>40000</v>
      </c>
      <c r="H39" s="3" t="s">
        <v>22</v>
      </c>
      <c r="I39" s="3" t="s">
        <v>61</v>
      </c>
      <c r="J39" s="5">
        <f>G39-(E39*F39*0.6)</f>
        <v>16000</v>
      </c>
      <c r="K39" s="5" t="str">
        <f>TRIM(H39)</f>
        <v>West</v>
      </c>
      <c r="L39" s="5" t="str">
        <f>UPPER(H39)</f>
        <v>WEST</v>
      </c>
      <c r="M39" s="34"/>
      <c r="N39" s="34"/>
      <c r="O39" s="31">
        <f>G39-(E39*F39*0.6)</f>
        <v>16000</v>
      </c>
    </row>
  </sheetData>
  <sortState xmlns:xlrd2="http://schemas.microsoft.com/office/spreadsheetml/2017/richdata2" ref="A1:N31">
    <sortCondition descending="1" ref="N2:N31"/>
  </sortState>
  <conditionalFormatting sqref="D1:D31">
    <cfRule type="expression" dxfId="7" priority="6">
      <formula>NOT(ISERROR(SEARCH(("NULL"),(D1))))</formula>
    </cfRule>
  </conditionalFormatting>
  <conditionalFormatting sqref="E2:F31">
    <cfRule type="expression" dxfId="6" priority="7">
      <formula>NOT(ISERROR(SEARCH(("NULL"),(E2))))</formula>
    </cfRule>
  </conditionalFormatting>
  <conditionalFormatting sqref="I1:I31">
    <cfRule type="cellIs" dxfId="5" priority="8" operator="greaterThan">
      <formula>5000</formula>
    </cfRule>
  </conditionalFormatting>
  <conditionalFormatting sqref="N2:N31">
    <cfRule type="cellIs" dxfId="4" priority="5" operator="greaterThan">
      <formula>5000</formula>
    </cfRule>
  </conditionalFormatting>
  <conditionalFormatting sqref="E36:E39">
    <cfRule type="expression" dxfId="3" priority="2">
      <formula>NOT(ISERROR(SEARCH(("NULL"),(E36))))</formula>
    </cfRule>
  </conditionalFormatting>
  <conditionalFormatting sqref="F37:G39">
    <cfRule type="expression" dxfId="2" priority="3">
      <formula>NOT(ISERROR(SEARCH(("NULL"),(F37))))</formula>
    </cfRule>
  </conditionalFormatting>
  <conditionalFormatting sqref="J36:J39">
    <cfRule type="cellIs" dxfId="1" priority="4" operator="greaterThan">
      <formula>5000</formula>
    </cfRule>
  </conditionalFormatting>
  <conditionalFormatting sqref="O37:O39">
    <cfRule type="cellIs" dxfId="0" priority="1" operator="greaterThan">
      <formula>5000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3:J18"/>
  <sheetViews>
    <sheetView workbookViewId="0"/>
  </sheetViews>
  <sheetFormatPr defaultColWidth="12.7109375" defaultRowHeight="15.75" customHeight="1"/>
  <cols>
    <col min="8" max="8" width="14.42578125" customWidth="1"/>
  </cols>
  <sheetData>
    <row r="3" spans="2:10" ht="15.75" customHeight="1">
      <c r="B3" s="31"/>
      <c r="C3" s="31"/>
      <c r="D3" s="45" t="s">
        <v>126</v>
      </c>
      <c r="E3" s="58"/>
      <c r="F3" s="58"/>
      <c r="G3" s="58"/>
      <c r="H3" s="58"/>
      <c r="I3" s="31"/>
      <c r="J3" s="31"/>
    </row>
    <row r="5" spans="2:10" ht="15.75" customHeight="1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</row>
    <row r="6" spans="2:10" ht="15.75" customHeight="1">
      <c r="B6" s="6">
        <v>1030</v>
      </c>
      <c r="C6" s="6" t="s">
        <v>69</v>
      </c>
      <c r="D6" s="6" t="s">
        <v>12</v>
      </c>
      <c r="E6" s="6">
        <v>1</v>
      </c>
      <c r="F6" s="6">
        <v>70000</v>
      </c>
      <c r="G6" s="6">
        <v>70000</v>
      </c>
      <c r="H6" s="6" t="s">
        <v>13</v>
      </c>
      <c r="I6" s="6" t="s">
        <v>70</v>
      </c>
      <c r="J6" s="17">
        <f>G6-(E6*F6*0.6)</f>
        <v>28000</v>
      </c>
    </row>
    <row r="7" spans="2:10" ht="15.75" customHeight="1">
      <c r="B7" s="3">
        <v>1027</v>
      </c>
      <c r="C7" s="3" t="s">
        <v>64</v>
      </c>
      <c r="D7" s="3" t="s">
        <v>45</v>
      </c>
      <c r="E7" s="3">
        <v>1</v>
      </c>
      <c r="F7" s="3">
        <v>55000</v>
      </c>
      <c r="G7" s="3">
        <v>55000</v>
      </c>
      <c r="H7" s="3" t="s">
        <v>20</v>
      </c>
      <c r="I7" s="3" t="s">
        <v>65</v>
      </c>
      <c r="J7" s="17">
        <f>G7-(E7*F7*0.6)</f>
        <v>22000</v>
      </c>
    </row>
    <row r="8" spans="2:10" ht="15.75" customHeight="1">
      <c r="B8" s="3">
        <v>1025</v>
      </c>
      <c r="C8" s="3" t="s">
        <v>60</v>
      </c>
      <c r="D8" s="3" t="s">
        <v>12</v>
      </c>
      <c r="E8" s="3">
        <v>1</v>
      </c>
      <c r="F8" s="3">
        <v>40000</v>
      </c>
      <c r="G8" s="3">
        <v>40000</v>
      </c>
      <c r="H8" s="3" t="s">
        <v>22</v>
      </c>
      <c r="I8" s="3" t="s">
        <v>61</v>
      </c>
      <c r="J8" s="17">
        <f>G8-(E8*F8*0.6)</f>
        <v>16000</v>
      </c>
    </row>
    <row r="11" spans="2:10" ht="15.75" customHeight="1">
      <c r="B11" s="18" t="s">
        <v>127</v>
      </c>
      <c r="C11" s="31"/>
      <c r="D11" s="31"/>
      <c r="E11" s="31"/>
      <c r="F11" s="31"/>
      <c r="G11" s="31"/>
      <c r="H11" s="31"/>
      <c r="I11" s="31"/>
      <c r="J11" s="31"/>
    </row>
    <row r="13" spans="2:10" ht="13.9">
      <c r="B13" s="19" t="s">
        <v>128</v>
      </c>
      <c r="C13" s="31"/>
      <c r="D13" s="31"/>
      <c r="E13" s="31"/>
      <c r="F13" s="31"/>
      <c r="G13" s="31"/>
      <c r="H13" s="31"/>
      <c r="I13" s="31"/>
      <c r="J13" s="31"/>
    </row>
    <row r="14" spans="2:10" ht="13.15">
      <c r="B14" s="12" t="s">
        <v>129</v>
      </c>
      <c r="C14" s="31"/>
      <c r="D14" s="31"/>
      <c r="E14" s="31"/>
      <c r="F14" s="31"/>
      <c r="G14" s="31"/>
      <c r="H14" s="31"/>
      <c r="I14" s="31"/>
      <c r="J14" s="31"/>
    </row>
    <row r="15" spans="2:10" ht="13.15">
      <c r="B15" s="12" t="s">
        <v>130</v>
      </c>
      <c r="C15" s="31"/>
      <c r="D15" s="31"/>
      <c r="E15" s="31"/>
      <c r="F15" s="31"/>
      <c r="G15" s="31"/>
      <c r="H15" s="31"/>
      <c r="I15" s="31"/>
      <c r="J15" s="31"/>
    </row>
    <row r="16" spans="2:10" ht="13.15">
      <c r="B16" s="12" t="s">
        <v>131</v>
      </c>
      <c r="C16" s="31"/>
      <c r="D16" s="31"/>
      <c r="E16" s="31"/>
      <c r="F16" s="31"/>
      <c r="G16" s="31"/>
      <c r="H16" s="31"/>
      <c r="I16" s="31"/>
      <c r="J16" s="31"/>
    </row>
    <row r="18" spans="2:2" ht="13.15">
      <c r="B18" s="12" t="s">
        <v>132</v>
      </c>
    </row>
  </sheetData>
  <mergeCells count="1">
    <mergeCell ref="D3:H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B2:I34"/>
  <sheetViews>
    <sheetView workbookViewId="0"/>
  </sheetViews>
  <sheetFormatPr defaultColWidth="12.7109375" defaultRowHeight="15.75" customHeight="1"/>
  <sheetData>
    <row r="2" spans="2:9" ht="15.75" customHeight="1">
      <c r="B2" s="31"/>
      <c r="C2" s="46" t="s">
        <v>133</v>
      </c>
      <c r="D2" s="58"/>
      <c r="E2" s="58"/>
      <c r="F2" s="58"/>
      <c r="G2" s="58"/>
      <c r="H2" s="58"/>
      <c r="I2" s="58"/>
    </row>
    <row r="4" spans="2:9" ht="15.75" customHeight="1">
      <c r="B4" s="1" t="s">
        <v>5</v>
      </c>
      <c r="C4" s="1" t="s">
        <v>7</v>
      </c>
      <c r="D4" s="31"/>
      <c r="E4" s="31"/>
      <c r="F4" s="31"/>
      <c r="G4" s="31"/>
      <c r="H4" s="31"/>
      <c r="I4" s="31"/>
    </row>
    <row r="5" spans="2:9" ht="15.75" customHeight="1">
      <c r="B5" s="20">
        <v>1500</v>
      </c>
      <c r="C5" s="21">
        <v>45660</v>
      </c>
      <c r="D5" s="31"/>
      <c r="E5" s="31"/>
      <c r="F5" s="31"/>
      <c r="G5" s="31"/>
      <c r="H5" s="31"/>
      <c r="I5" s="31"/>
    </row>
    <row r="6" spans="2:9" ht="15.75" customHeight="1">
      <c r="B6" s="22">
        <v>16400</v>
      </c>
      <c r="C6" s="23">
        <v>45691</v>
      </c>
      <c r="D6" s="31"/>
      <c r="E6" s="31"/>
      <c r="F6" s="31"/>
      <c r="G6" s="31"/>
      <c r="H6" s="31"/>
      <c r="I6" s="31"/>
    </row>
    <row r="7" spans="2:9" ht="15.75" customHeight="1">
      <c r="B7" s="20">
        <v>3500</v>
      </c>
      <c r="C7" s="21">
        <v>45719</v>
      </c>
      <c r="D7" s="31"/>
      <c r="E7" s="31"/>
      <c r="F7" s="31"/>
      <c r="G7" s="31"/>
      <c r="H7" s="31"/>
      <c r="I7" s="31"/>
    </row>
    <row r="8" spans="2:9" ht="15.75" customHeight="1">
      <c r="B8" s="22">
        <v>16400</v>
      </c>
      <c r="C8" s="23">
        <v>45750</v>
      </c>
      <c r="D8" s="31"/>
      <c r="E8" s="31"/>
      <c r="F8" s="31"/>
      <c r="G8" s="31"/>
      <c r="H8" s="31"/>
      <c r="I8" s="31"/>
    </row>
    <row r="9" spans="2:9" ht="15.75" customHeight="1">
      <c r="B9" s="20">
        <v>5000</v>
      </c>
      <c r="C9" s="21">
        <v>45780</v>
      </c>
      <c r="D9" s="31"/>
      <c r="E9" s="31"/>
      <c r="F9" s="31"/>
      <c r="G9" s="31"/>
      <c r="H9" s="31"/>
      <c r="I9" s="31"/>
    </row>
    <row r="10" spans="2:9" ht="15.75" customHeight="1">
      <c r="B10" s="22">
        <v>14000</v>
      </c>
      <c r="C10" s="23">
        <v>45811</v>
      </c>
      <c r="D10" s="31"/>
      <c r="E10" s="31"/>
      <c r="F10" s="31"/>
      <c r="G10" s="31"/>
      <c r="H10" s="31"/>
      <c r="I10" s="31"/>
    </row>
    <row r="11" spans="2:9" ht="15.75" customHeight="1">
      <c r="B11" s="20">
        <v>16400</v>
      </c>
      <c r="C11" s="21">
        <v>45841</v>
      </c>
      <c r="D11" s="31"/>
      <c r="E11" s="31"/>
      <c r="F11" s="31"/>
      <c r="G11" s="31"/>
      <c r="H11" s="31"/>
      <c r="I11" s="31"/>
    </row>
    <row r="12" spans="2:9" ht="15.75" customHeight="1">
      <c r="B12" s="22">
        <v>13500</v>
      </c>
      <c r="C12" s="23">
        <v>45872</v>
      </c>
      <c r="D12" s="31"/>
      <c r="E12" s="31"/>
      <c r="F12" s="31"/>
      <c r="G12" s="31"/>
      <c r="H12" s="31"/>
      <c r="I12" s="31"/>
    </row>
    <row r="13" spans="2:9" ht="15.75" customHeight="1">
      <c r="B13" s="20">
        <v>16400</v>
      </c>
      <c r="C13" s="21">
        <v>45903</v>
      </c>
      <c r="D13" s="31"/>
      <c r="E13" s="31"/>
      <c r="F13" s="31"/>
      <c r="G13" s="31"/>
      <c r="H13" s="31"/>
      <c r="I13" s="31"/>
    </row>
    <row r="14" spans="2:9" ht="15.75" customHeight="1">
      <c r="B14" s="22">
        <v>3000</v>
      </c>
      <c r="C14" s="23">
        <v>45933</v>
      </c>
      <c r="D14" s="31"/>
      <c r="E14" s="31"/>
      <c r="F14" s="31"/>
      <c r="G14" s="31"/>
      <c r="H14" s="31"/>
      <c r="I14" s="31"/>
    </row>
    <row r="15" spans="2:9" ht="15.75" customHeight="1">
      <c r="B15" s="20">
        <v>16400</v>
      </c>
      <c r="C15" s="21">
        <v>45964</v>
      </c>
      <c r="D15" s="31"/>
      <c r="E15" s="31"/>
      <c r="F15" s="31"/>
      <c r="G15" s="31"/>
      <c r="H15" s="31"/>
      <c r="I15" s="31"/>
    </row>
    <row r="16" spans="2:9" ht="15.75" customHeight="1">
      <c r="B16" s="22">
        <v>2200</v>
      </c>
      <c r="C16" s="23">
        <v>45994</v>
      </c>
      <c r="D16" s="31"/>
      <c r="E16" s="31"/>
      <c r="F16" s="31"/>
      <c r="G16" s="31"/>
      <c r="H16" s="31"/>
      <c r="I16" s="31"/>
    </row>
    <row r="17" spans="2:5" ht="15.75" customHeight="1">
      <c r="B17" s="20">
        <v>24000</v>
      </c>
      <c r="C17" s="20" t="s">
        <v>37</v>
      </c>
      <c r="D17" s="31"/>
      <c r="E17" s="31"/>
    </row>
    <row r="18" spans="2:5" ht="15.75" customHeight="1">
      <c r="B18" s="22">
        <v>16400</v>
      </c>
      <c r="C18" s="22" t="s">
        <v>39</v>
      </c>
      <c r="D18" s="31"/>
      <c r="E18" s="31"/>
    </row>
    <row r="19" spans="2:5" ht="15.75" customHeight="1">
      <c r="B19" s="20">
        <v>5400</v>
      </c>
      <c r="C19" s="20" t="s">
        <v>41</v>
      </c>
      <c r="D19" s="31"/>
      <c r="E19" s="31"/>
    </row>
    <row r="20" spans="2:5" ht="15.75" customHeight="1">
      <c r="B20" s="22">
        <v>16400</v>
      </c>
      <c r="C20" s="22" t="s">
        <v>43</v>
      </c>
      <c r="D20" s="31"/>
      <c r="E20" s="31"/>
    </row>
    <row r="21" spans="2:5" ht="15.75" customHeight="1">
      <c r="B21" s="20">
        <v>8000</v>
      </c>
      <c r="C21" s="20" t="s">
        <v>46</v>
      </c>
      <c r="D21" s="31"/>
      <c r="E21" s="31"/>
    </row>
    <row r="22" spans="2:5" ht="15.75" customHeight="1">
      <c r="B22" s="22">
        <v>11000</v>
      </c>
      <c r="C22" s="22" t="s">
        <v>48</v>
      </c>
      <c r="D22" s="31"/>
      <c r="E22" s="24" t="s">
        <v>127</v>
      </c>
    </row>
    <row r="23" spans="2:5" ht="15.75" customHeight="1">
      <c r="B23" s="20">
        <v>20000</v>
      </c>
      <c r="C23" s="20" t="s">
        <v>50</v>
      </c>
      <c r="D23" s="31"/>
      <c r="E23" s="12" t="s">
        <v>134</v>
      </c>
    </row>
    <row r="24" spans="2:5" ht="15.75" customHeight="1">
      <c r="B24" s="22">
        <v>16400</v>
      </c>
      <c r="C24" s="22" t="s">
        <v>52</v>
      </c>
      <c r="D24" s="31"/>
      <c r="E24" s="12" t="s">
        <v>135</v>
      </c>
    </row>
    <row r="25" spans="2:5" ht="15.75" customHeight="1">
      <c r="B25" s="20">
        <v>8000</v>
      </c>
      <c r="C25" s="20" t="s">
        <v>54</v>
      </c>
      <c r="D25" s="31"/>
      <c r="E25" s="31"/>
    </row>
    <row r="26" spans="2:5" ht="15.75" customHeight="1">
      <c r="B26" s="22">
        <v>16400</v>
      </c>
      <c r="C26" s="22" t="s">
        <v>56</v>
      </c>
      <c r="D26" s="31"/>
      <c r="E26" s="31"/>
    </row>
    <row r="27" spans="2:5" ht="15.75" customHeight="1">
      <c r="B27" s="20">
        <v>2500</v>
      </c>
      <c r="C27" s="20" t="s">
        <v>58</v>
      </c>
      <c r="D27" s="31"/>
      <c r="E27" s="31"/>
    </row>
    <row r="28" spans="2:5" ht="14.45">
      <c r="B28" s="22">
        <v>16400</v>
      </c>
      <c r="C28" s="22" t="s">
        <v>59</v>
      </c>
      <c r="D28" s="31"/>
      <c r="E28" s="31"/>
    </row>
    <row r="29" spans="2:5" ht="14.45">
      <c r="B29" s="20">
        <v>40000</v>
      </c>
      <c r="C29" s="20" t="s">
        <v>61</v>
      </c>
      <c r="D29" s="31"/>
      <c r="E29" s="31"/>
    </row>
    <row r="30" spans="2:5" ht="14.45">
      <c r="B30" s="22">
        <v>1000</v>
      </c>
      <c r="C30" s="22" t="s">
        <v>63</v>
      </c>
      <c r="D30" s="31"/>
      <c r="E30" s="31"/>
    </row>
    <row r="31" spans="2:5" ht="14.45">
      <c r="B31" s="20">
        <v>55000</v>
      </c>
      <c r="C31" s="20" t="s">
        <v>65</v>
      </c>
      <c r="D31" s="31"/>
      <c r="E31" s="31"/>
    </row>
    <row r="32" spans="2:5" ht="14.45">
      <c r="B32" s="22">
        <v>16400</v>
      </c>
      <c r="C32" s="22" t="s">
        <v>66</v>
      </c>
      <c r="D32" s="31"/>
      <c r="E32" s="31"/>
    </row>
    <row r="33" spans="2:3" ht="14.45">
      <c r="B33" s="20">
        <v>24000</v>
      </c>
      <c r="C33" s="20" t="s">
        <v>68</v>
      </c>
    </row>
    <row r="34" spans="2:3" ht="14.45">
      <c r="B34" s="22">
        <v>70000</v>
      </c>
      <c r="C34" s="22" t="s">
        <v>70</v>
      </c>
    </row>
  </sheetData>
  <mergeCells count="1">
    <mergeCell ref="C2:I2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2:Z22"/>
  <sheetViews>
    <sheetView showGridLines="0" workbookViewId="0">
      <selection activeCell="K44" sqref="K44"/>
    </sheetView>
  </sheetViews>
  <sheetFormatPr defaultColWidth="12.7109375" defaultRowHeight="15.75" customHeight="1"/>
  <cols>
    <col min="1" max="1" width="15.7109375" customWidth="1"/>
    <col min="2" max="2" width="21.140625" customWidth="1"/>
  </cols>
  <sheetData>
    <row r="2" spans="1:2" ht="15.75" customHeight="1">
      <c r="A2" s="25" t="s">
        <v>136</v>
      </c>
      <c r="B2" s="31"/>
    </row>
    <row r="4" spans="1:2" ht="13.15">
      <c r="A4" s="47" t="s">
        <v>6</v>
      </c>
      <c r="B4" s="48" t="s">
        <v>137</v>
      </c>
    </row>
    <row r="5" spans="1:2" ht="13.15">
      <c r="A5" s="49" t="s">
        <v>20</v>
      </c>
      <c r="B5" s="50">
        <v>116300</v>
      </c>
    </row>
    <row r="6" spans="1:2" ht="13.15">
      <c r="A6" s="51" t="s">
        <v>13</v>
      </c>
      <c r="B6" s="52">
        <v>137700</v>
      </c>
    </row>
    <row r="7" spans="1:2" ht="13.15">
      <c r="A7" s="51" t="s">
        <v>26</v>
      </c>
      <c r="B7" s="52">
        <v>14000</v>
      </c>
    </row>
    <row r="8" spans="1:2" ht="13.15">
      <c r="A8" s="51" t="s">
        <v>17</v>
      </c>
      <c r="B8" s="52">
        <v>100600</v>
      </c>
    </row>
    <row r="9" spans="1:2" ht="13.15">
      <c r="A9" s="51" t="s">
        <v>22</v>
      </c>
      <c r="B9" s="52">
        <v>123400</v>
      </c>
    </row>
    <row r="10" spans="1:2" ht="13.15">
      <c r="A10" s="53" t="s">
        <v>124</v>
      </c>
      <c r="B10" s="54">
        <v>492000</v>
      </c>
    </row>
    <row r="18" spans="1:26" ht="15.75" customHeight="1">
      <c r="A18" s="18" t="s">
        <v>127</v>
      </c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20" spans="1:26" ht="13.15">
      <c r="A20" s="12" t="s">
        <v>138</v>
      </c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spans="1:26" ht="13.15">
      <c r="A21" s="12" t="s">
        <v>139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ht="13.15">
      <c r="A22" s="12" t="s">
        <v>95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</sheetData>
  <autoFilter ref="B4:B9" xr:uid="{00000000-0009-0000-0000-000003000000}">
    <sortState xmlns:xlrd2="http://schemas.microsoft.com/office/spreadsheetml/2017/richdata2" ref="B4:B9">
      <sortCondition descending="1" ref="B4:B9"/>
    </sortState>
  </autoFilter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</dc:creator>
  <cp:keywords/>
  <dc:description/>
  <cp:lastModifiedBy>Kevin Ashmaniwala</cp:lastModifiedBy>
  <cp:revision/>
  <dcterms:created xsi:type="dcterms:W3CDTF">2025-09-16T07:41:00Z</dcterms:created>
  <dcterms:modified xsi:type="dcterms:W3CDTF">2025-09-17T19:19:11Z</dcterms:modified>
  <cp:category/>
  <cp:contentStatus/>
</cp:coreProperties>
</file>